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2acb23d38b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92c589120e4b38"/>
    <x:sheet xmlns:r="http://schemas.openxmlformats.org/officeDocument/2006/relationships" name="Assumptions" sheetId="2" r:id="R5c0ff91b3cc24fef"/>
    <x:sheet xmlns:r="http://schemas.openxmlformats.org/officeDocument/2006/relationships" name="Before Baseline" sheetId="3" r:id="R086d36b3053d488f"/>
    <x:sheet xmlns:r="http://schemas.openxmlformats.org/officeDocument/2006/relationships" name="Managed Options" sheetId="4" r:id="R4a2e5a32328047aa"/>
    <x:sheet xmlns:r="http://schemas.openxmlformats.org/officeDocument/2006/relationships" name="Reconciliation" sheetId="5" r:id="R94522a672c634402"/>
    <x:sheet xmlns:r="http://schemas.openxmlformats.org/officeDocument/2006/relationships" name="Sources &amp; Checks" sheetId="6" r:id="R13e395fab3354baa"/>
  </x:sheets>
</x:workbook>
</file>

<file path=xl/comments1.xml><?xml version="1.0" encoding="utf-8"?>
<x:comments xmlns:x="http://schemas.openxmlformats.org/spreadsheetml/2006/main">
  <x:authors>
    <x:author>tc={9EEE2176-7074-DFDC-0956-818354A7EFDF}</x:author>
  </x:authors>
  <x:commentList>
    <x:comment ref="C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Do not set removable nodes above zero until D8-PERF-02/post-cleanup evidence proves fewer node-hours. Reservations alone do not guarantee EC2 savings.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(#,##0.00);-"/>
    <x:numFmt numFmtId="201" formatCode="$#,##0.00;[Red]($#,##0.00);-"/>
    <x:numFmt numFmtId="202" formatCode="yyyy-mm-dd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1"/>
      <x:color rgb="FF17365D"/>
      <x:name val="Carlito"/>
    </x:font>
    <x:font>
      <x:b/>
      <x:sz val="11"/>
      <x:color rgb="FF9C0006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7">
    <x:border/>
    <x:border>
      <x:right style="thin">
        <x:color rgb="FF8EA9C1"/>
      </x:right>
    </x:border>
    <x:border>
      <x:left style="thin">
        <x:color rgb="FF8EA9C1"/>
      </x:left>
      <x:right style="thin">
        <x:color rgb="FF8EA9C1"/>
      </x:right>
    </x:border>
    <x:border>
      <x:left style="thin">
        <x:color rgb="FF8EA9C1"/>
      </x:left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201" fontId="0" fillId="0" borderId="0" xfId="0" applyNumberFormat="1" applyFont="1" applyFill="1" applyBorder="1"/>
    <x:xf numFmtId="201" fontId="4" fillId="4" borderId="5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201" fontId="4" fillId="4" borderId="5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1" fontId="4" fillId="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b17bb985ff43da" /><Relationship Type="http://schemas.openxmlformats.org/officeDocument/2006/relationships/theme" Target="/xl/theme/theme1.xml" Id="Rd20b7a98a2ed4847" /><Relationship Type="http://schemas.openxmlformats.org/officeDocument/2006/relationships/sharedStrings" Target="/xl/sharedStrings.xml" Id="Rc8bc92188b714653" /><Relationship Type="http://schemas.openxmlformats.org/officeDocument/2006/relationships/worksheet" Target="/xl/worksheets/sheet1.xml" Id="R4692c589120e4b38" /><Relationship Type="http://schemas.openxmlformats.org/officeDocument/2006/relationships/worksheet" Target="/xl/worksheets/sheet2.xml" Id="R5c0ff91b3cc24fef" /><Relationship Type="http://schemas.openxmlformats.org/officeDocument/2006/relationships/worksheet" Target="/xl/worksheets/sheet3.xml" Id="R086d36b3053d488f" /><Relationship Type="http://schemas.openxmlformats.org/officeDocument/2006/relationships/worksheet" Target="/xl/worksheets/sheet4.xml" Id="R4a2e5a32328047aa" /><Relationship Type="http://schemas.openxmlformats.org/officeDocument/2006/relationships/worksheet" Target="/xl/worksheets/sheet5.xml" Id="R94522a672c634402" /><Relationship Type="http://schemas.openxmlformats.org/officeDocument/2006/relationships/worksheet" Target="/xl/worksheets/sheet6.xml" Id="R13e395fab3354baa" /><Relationship Type="http://schemas.microsoft.com/office/2017/10/relationships/person" Target="/xl/persons/person.xml" Id="Ra3f6253231cf4811" /></Relationships>
</file>

<file path=xl/persons/person.xml><?xml version="1.0" encoding="utf-8"?>
<xltc:personList xmlns:xltc="http://schemas.microsoft.com/office/spreadsheetml/2018/threadedcomments">
  <xltc:person displayName="Nguyễn Thành Vinh" id="{EEA32445-AB48-43AE-8901-8D03932014C7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C10" dT="2026-07-18T05:58:40.288" personId="{EEA32445-AB48-43AE-8901-8D03932014C7}" id="{9EEE2176-7074-DFDC-0956-818354A7EFDF}">
    <xltc:text>Do not set removable nodes above zero until D8-PERF-02/post-cleanup evidence proves fewer node-hours. Reservations alone do not guarantee EC2 savings.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c528bf07477493b" /><Relationship Type="http://schemas.openxmlformats.org/officeDocument/2006/relationships/vmlDrawing" Target="/xl/drawings/vmldrawing.vml" Id="R0e4d6711f32047e4" /><Relationship Type="http://schemas.microsoft.com/office/2017/10/relationships/threadedComment" Target="/xl/threadedcomments/threadedcomment.xml" Id="R688e935c64fa48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7" hidden="0" customWidth="1"/>
    <x:col min="8" max="8" width="31" hidden="0" customWidth="1"/>
  </x:cols>
  <x:sheetData>
    <x:row r="1" ht="19.200000762939453" hidden="0" customHeight="1">
      <x:c r="A1" s="42" t="str">
        <x:v>D8-COST-01 — Managed Data Services Net Cost Model</x:v>
      </x:c>
      <x:c r="B1" s="42" t="str">
        <x:v>D8-COST-01 — Managed Data Services Net Cost Model</x:v>
      </x:c>
      <x:c r="C1" s="42" t="str">
        <x:v>D8-COST-01 — Managed Data Services Net Cost Model</x:v>
      </x:c>
      <x:c r="D1" s="42" t="str">
        <x:v>D8-COST-01 — Managed Data Services Net Cost Model</x:v>
      </x:c>
      <x:c r="E1" s="42" t="str">
        <x:v>D8-COST-01 — Managed Data Services Net Cost Model</x:v>
      </x:c>
      <x:c r="F1" s="42" t="str">
        <x:v>D8-COST-01 — Managed Data Services Net Cost Model</x:v>
      </x:c>
      <x:c r="G1" s="42" t="str">
        <x:v>D8-COST-01 — Managed Data Services Net Cost Model</x:v>
      </x:c>
      <x:c r="H1" s="42" t="str">
        <x:v>D8-COST-01 — Managed Data Services Net Cost Model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</x:row>
    <x:row r="3" ht="15" hidden="0" customHeight="1">
      <x:c r="A3" s="44" t="str">
        <x:v>Model metadata</x:v>
      </x:c>
      <x:c r="B3" s="45" t="str">
        <x:v>Value</x:v>
      </x:c>
      <x:c r="C3" s="46"/>
      <x:c r="D3" s="46"/>
      <x:c r="E3" s="46"/>
      <x:c r="F3" s="46"/>
      <x:c r="G3" s="46"/>
      <x:c r="H3" s="46"/>
    </x:row>
    <x:row r="4" ht="15" hidden="0" customHeight="1">
      <x:c r="A4" s="46" t="str">
        <x:v>Version</x:v>
      </x:c>
      <x:c r="B4" s="46" t="str">
        <x:v>v0.1</x:v>
      </x:c>
      <x:c r="C4" s="46"/>
      <x:c r="D4" s="46"/>
      <x:c r="E4" s="46"/>
      <x:c r="F4" s="46"/>
      <x:c r="G4" s="46"/>
      <x:c r="H4" s="46"/>
    </x:row>
    <x:row r="5" ht="15" hidden="0" customHeight="1">
      <x:c r="A5" s="46" t="str">
        <x:v>Model date</x:v>
      </x:c>
      <x:c r="B5" s="47" t="n">
        <x:v>46221</x:v>
      </x:c>
      <x:c r="C5" s="46"/>
      <x:c r="D5" s="46"/>
      <x:c r="E5" s="46"/>
      <x:c r="F5" s="46"/>
      <x:c r="G5" s="46"/>
      <x:c r="H5" s="46"/>
    </x:row>
    <x:row r="6" ht="15" hidden="0" customHeight="1">
      <x:c r="A6" s="46" t="str">
        <x:v>Region</x:v>
      </x:c>
      <x:c r="B6" s="46" t="str">
        <x:v>us-east-1</x:v>
      </x:c>
      <x:c r="C6" s="46"/>
      <x:c r="D6" s="46"/>
      <x:c r="E6" s="46"/>
      <x:c r="F6" s="46"/>
      <x:c r="G6" s="46"/>
      <x:c r="H6" s="46"/>
    </x:row>
    <x:row r="7" ht="15" hidden="0" customHeight="1">
      <x:c r="A7" s="46" t="str">
        <x:v>Currency</x:v>
      </x:c>
      <x:c r="B7" s="46" t="str">
        <x:v>USD</x:v>
      </x:c>
      <x:c r="C7" s="46"/>
      <x:c r="D7" s="46"/>
      <x:c r="E7" s="46"/>
      <x:c r="F7" s="46"/>
      <x:c r="G7" s="46"/>
      <x:c r="H7" s="46"/>
    </x:row>
    <x:row r="8" ht="15" hidden="0" customHeight="1">
      <x:c r="A8" s="46" t="str">
        <x:v>Classification</x:v>
      </x:c>
      <x:c r="B8" s="48" t="str">
        <x:v>MODELED ESTIMATE — NOT ACTUAL BILLING</x:v>
      </x:c>
      <x:c r="C8" s="46"/>
      <x:c r="D8" s="46"/>
      <x:c r="E8" s="46"/>
      <x:c r="F8" s="46"/>
      <x:c r="G8" s="46"/>
      <x:c r="H8" s="46"/>
    </x:row>
    <x:row r="9" ht="15" hidden="0" customHeight="1">
      <x:c r="A9" s="46" t="str">
        <x:v>Selected scenario</x:v>
      </x:c>
      <x:c r="B9" s="46" t="str">
        <x:v>HA recommended</x:v>
      </x:c>
      <x:c r="C9" s="46"/>
      <x:c r="D9" s="46"/>
      <x:c r="E9" s="46"/>
      <x:c r="F9" s="46"/>
      <x:c r="G9" s="46"/>
      <x:c r="H9" s="46"/>
    </x:row>
    <x:row r="10" ht="15" hidden="0" customHeight="1">
      <x:c r="A10" s="46"/>
      <x:c r="B10" s="46"/>
      <x:c r="C10" s="46"/>
      <x:c r="D10" s="46"/>
      <x:c r="E10" s="46"/>
      <x:c r="F10" s="46"/>
      <x:c r="G10" s="46"/>
      <x:c r="H10" s="46"/>
    </x:row>
    <x:row r="11" ht="26.399999618530273" hidden="0" customHeight="1">
      <x:c r="A11" s="44" t="str">
        <x:v>Scenario</x:v>
      </x:c>
      <x:c r="B11" s="49" t="str">
        <x:v>Managed monthly</x:v>
      </x:c>
      <x:c r="C11" s="49" t="str">
        <x:v>Removed monthly</x:v>
      </x:c>
      <x:c r="D11" s="49" t="str">
        <x:v>Net monthly impact</x:v>
      </x:c>
      <x:c r="E11" s="49" t="str">
        <x:v>Post-TF monthly projection</x:v>
      </x:c>
      <x:c r="F11" s="49" t="str">
        <x:v>Weekly total projection</x:v>
      </x:c>
      <x:c r="G11" s="49" t="str">
        <x:v>Weekly headroom</x:v>
      </x:c>
      <x:c r="H11" s="45" t="str">
        <x:v>Budget status</x:v>
      </x:c>
    </x:row>
    <x:row r="12" ht="15" hidden="0" customHeight="1">
      <x:c r="A12" s="46" t="str">
        <x:v>Cost-first</x:v>
      </x:c>
      <x:c r="B12" s="50" t="n">
        <x:f>'Managed Options'!K18</x:f>
        <x:v>135.424</x:v>
      </x:c>
      <x:c r="C12" s="50" t="n">
        <x:f>'Before Baseline'!I15</x:f>
        <x:v>2.5</x:v>
      </x:c>
      <x:c r="D12" s="50" t="n">
        <x:f>B12-C12</x:f>
        <x:v>132.924</x:v>
      </x:c>
      <x:c r="E12" s="50" t="n">
        <x:f>'Assumptions'!C8+D12</x:f>
        <x:v>403.644</x:v>
      </x:c>
      <x:c r="F12" s="50" t="n">
        <x:f>E12/'Assumptions'!C9</x:f>
        <x:v>92.89341369863014</x:v>
      </x:c>
      <x:c r="G12" s="50" t="n">
        <x:f>'Assumptions'!C7-F12</x:f>
        <x:v>207.10658630136987</x:v>
      </x:c>
      <x:c r="H12" s="46" t="str">
        <x:f>IF(G12&gt;=0,"WITHIN GUARDRAIL","EXCEPTION REQUIRED")</x:f>
        <x:v>WITHIN GUARDRAIL</x:v>
      </x:c>
    </x:row>
    <x:row r="13" ht="15" hidden="0" customHeight="1">
      <x:c r="A13" s="46" t="str">
        <x:v>HA recommended</x:v>
      </x:c>
      <x:c r="B13" s="50" t="n">
        <x:f>'Managed Options'!K19</x:f>
        <x:v>161.084</x:v>
      </x:c>
      <x:c r="C13" s="50" t="n">
        <x:f>'Before Baseline'!I15</x:f>
        <x:v>2.5</x:v>
      </x:c>
      <x:c r="D13" s="50" t="n">
        <x:f>B13-C13</x:f>
        <x:v>158.584</x:v>
      </x:c>
      <x:c r="E13" s="50" t="n">
        <x:f>'Assumptions'!C8+D13</x:f>
        <x:v>429.30400000000003</x:v>
      </x:c>
      <x:c r="F13" s="50" t="n">
        <x:f>E13/'Assumptions'!C9</x:f>
        <x:v>98.79872876712331</x:v>
      </x:c>
      <x:c r="G13" s="50" t="n">
        <x:f>'Assumptions'!C7-F13</x:f>
        <x:v>201.2012712328767</x:v>
      </x:c>
      <x:c r="H13" s="46" t="str">
        <x:f>IF(G13&gt;=0,"WITHIN GUARDRAIL","EXCEPTION REQUIRED")</x:f>
        <x:v>WITHIN GUARDRAIL</x:v>
      </x:c>
    </x:row>
    <x:row r="14" ht="15" hidden="0" customHeight="1">
      <x:c r="A14" s="46" t="str">
        <x:v>Serverless compare</x:v>
      </x:c>
      <x:c r="B14" s="50" t="n">
        <x:f>'Managed Options'!K20</x:f>
        <x:v>607.72</x:v>
      </x:c>
      <x:c r="C14" s="50" t="n">
        <x:f>'Before Baseline'!I15</x:f>
        <x:v>2.5</x:v>
      </x:c>
      <x:c r="D14" s="50" t="n">
        <x:f>B14-C14</x:f>
        <x:v>605.22</x:v>
      </x:c>
      <x:c r="E14" s="50" t="n">
        <x:f>'Assumptions'!C8+D14</x:f>
        <x:v>875.94</x:v>
      </x:c>
      <x:c r="F14" s="50" t="n">
        <x:f>E14/'Assumptions'!C9</x:f>
        <x:v>201.58619178082193</x:v>
      </x:c>
      <x:c r="G14" s="50" t="n">
        <x:f>'Assumptions'!C7-F14</x:f>
        <x:v>98.41380821917807</x:v>
      </x:c>
      <x:c r="H14" s="46" t="str">
        <x:f>IF(G14&gt;=0,"WITHIN GUARDRAIL","EXCEPTION REQUIRED")</x:f>
        <x:v>WITHIN GUARDRAIL</x:v>
      </x:c>
    </x:row>
    <x:row r="15" ht="15" hidden="0" customHeight="1">
      <x:c r="A15" s="46"/>
      <x:c r="B15" s="46"/>
      <x:c r="C15" s="46"/>
      <x:c r="D15" s="46"/>
      <x:c r="E15" s="46"/>
      <x:c r="F15" s="46"/>
      <x:c r="G15" s="46"/>
      <x:c r="H15" s="46"/>
    </x:row>
    <x:row r="16" ht="15" hidden="0" customHeight="1">
      <x:c r="A16" s="51" t="str">
        <x:v>Selected recommendation</x:v>
      </x:c>
      <x:c r="B16" s="52" t="str">
        <x:v>HA recommended</x:v>
      </x:c>
      <x:c r="C16" s="52"/>
      <x:c r="D16" s="52"/>
      <x:c r="E16" s="52"/>
      <x:c r="F16" s="52"/>
      <x:c r="G16" s="52"/>
      <x:c r="H16" s="53"/>
    </x:row>
    <x:row r="17" ht="15" hidden="0" customHeight="1">
      <x:c r="A17" s="46" t="str">
        <x:v>RDS</x:v>
      </x:c>
      <x:c r="B17" s="46" t="str">
        <x:v>db.t4g.micro Multi-AZ, 20 GiB gp3</x:v>
      </x:c>
      <x:c r="C17" s="46"/>
      <x:c r="D17" s="46"/>
      <x:c r="E17" s="46"/>
      <x:c r="F17" s="46"/>
      <x:c r="G17" s="46"/>
      <x:c r="H17" s="46"/>
    </x:row>
    <x:row r="18" ht="15" hidden="0" customHeight="1">
      <x:c r="A18" s="46" t="str">
        <x:v>ElastiCache</x:v>
      </x:c>
      <x:c r="B18" s="46" t="str">
        <x:v>cache.t4g.micro, primary + replica / Multi-AZ</x:v>
      </x:c>
      <x:c r="C18" s="46"/>
      <x:c r="D18" s="46"/>
      <x:c r="E18" s="46"/>
      <x:c r="F18" s="46"/>
      <x:c r="G18" s="46"/>
      <x:c r="H18" s="46"/>
    </x:row>
    <x:row r="19" ht="26.399999618530273" hidden="0" customHeight="1">
      <x:c r="A19" s="46" t="str">
        <x:v>MSK</x:v>
      </x:c>
      <x:c r="B19" s="46" t="str">
        <x:v>Provisioned 3 x kafka.t3.small; replace placeholders after D8-PERF-02</x:v>
      </x:c>
      <x:c r="C19" s="46"/>
      <x:c r="D19" s="46"/>
      <x:c r="E19" s="46"/>
      <x:c r="F19" s="46"/>
      <x:c r="G19" s="46"/>
      <x:c r="H19" s="46"/>
    </x:row>
    <x:row r="20" ht="15" hidden="0" customHeight="1">
      <x:c r="A20" s="46" t="str">
        <x:v>Modeled managed cost / month</x:v>
      </x:c>
      <x:c r="B20" s="50" t="n">
        <x:f>B13</x:f>
        <x:v>161.084</x:v>
      </x:c>
      <x:c r="C20" s="46"/>
      <x:c r="D20" s="46"/>
      <x:c r="E20" s="46"/>
      <x:c r="F20" s="46"/>
      <x:c r="G20" s="46"/>
      <x:c r="H20" s="46"/>
    </x:row>
    <x:row r="21" ht="15" hidden="0" customHeight="1">
      <x:c r="A21" s="46" t="str">
        <x:v>Net impact / month</x:v>
      </x:c>
      <x:c r="B21" s="50" t="n">
        <x:f>D13</x:f>
        <x:v>158.584</x:v>
      </x:c>
      <x:c r="C21" s="46"/>
      <x:c r="D21" s="46"/>
      <x:c r="E21" s="46"/>
      <x:c r="F21" s="46"/>
      <x:c r="G21" s="46"/>
      <x:c r="H21" s="46"/>
    </x:row>
    <x:row r="22" ht="15" hidden="0" customHeight="1">
      <x:c r="A22" s="46" t="str">
        <x:v>Budget decision</x:v>
      </x:c>
      <x:c r="B22" s="54" t="str">
        <x:f>H13</x:f>
        <x:v>WITHIN GUARDRAIL</x:v>
      </x:c>
      <x:c r="C22" s="46"/>
      <x:c r="D22" s="46"/>
      <x:c r="E22" s="46"/>
      <x:c r="F22" s="46"/>
      <x:c r="G22" s="46"/>
      <x:c r="H22" s="46"/>
    </x:row>
    <x:row r="23" ht="15" hidden="0" customHeight="1">
      <x:c r="A23" s="46"/>
      <x:c r="B23" s="46"/>
      <x:c r="C23" s="46"/>
      <x:c r="D23" s="46"/>
      <x:c r="E23" s="46"/>
      <x:c r="F23" s="46"/>
      <x:c r="G23" s="46"/>
      <x:c r="H23" s="46"/>
    </x:row>
    <x:row r="24" ht="15" hidden="0" customHeight="1">
      <x:c r="A24" s="55" t="str">
        <x:v>Decision caveat: budget is currently PASS in the modeled scenario, but final GO requires D8-PERF-01/02 workload inputs, CDO-08 service-class confirmation, and Cost Explorer/CUR reconciliation after cutover.</x:v>
      </x:c>
      <x:c r="B24" s="55" t="str">
        <x:v>Decision caveat: budget is currently PASS in the modeled scenario, but final GO requires D8-PERF-01/02 workload inputs, CDO-08 service-class confirmation, and Cost Explorer/CUR reconciliation after cutover.</x:v>
      </x:c>
      <x:c r="C24" s="55" t="str">
        <x:v>Decision caveat: budget is currently PASS in the modeled scenario, but final GO requires D8-PERF-01/02 workload inputs, CDO-08 service-class confirmation, and Cost Explorer/CUR reconciliation after cutover.</x:v>
      </x:c>
      <x:c r="D24" s="55" t="str">
        <x:v>Decision caveat: budget is currently PASS in the modeled scenario, but final GO requires D8-PERF-01/02 workload inputs, CDO-08 service-class confirmation, and Cost Explorer/CUR reconciliation after cutover.</x:v>
      </x:c>
      <x:c r="E24" s="55" t="str">
        <x:v>Decision caveat: budget is currently PASS in the modeled scenario, but final GO requires D8-PERF-01/02 workload inputs, CDO-08 service-class confirmation, and Cost Explorer/CUR reconciliation after cutover.</x:v>
      </x:c>
      <x:c r="F24" s="55" t="str">
        <x:v>Decision caveat: budget is currently PASS in the modeled scenario, but final GO requires D8-PERF-01/02 workload inputs, CDO-08 service-class confirmation, and Cost Explorer/CUR reconciliation after cutover.</x:v>
      </x:c>
      <x:c r="G24" s="55" t="str">
        <x:v>Decision caveat: budget is currently PASS in the modeled scenario, but final GO requires D8-PERF-01/02 workload inputs, CDO-08 service-class confirmation, and Cost Explorer/CUR reconciliation after cutover.</x:v>
      </x:c>
      <x:c r="H24" s="55" t="str">
        <x:v>Decision caveat: budget is currently PASS in the modeled scenario, but final GO requires D8-PERF-01/02 workload inputs, CDO-08 service-class confirmation, and Cost Explorer/CUR reconciliation after cutover.</x:v>
      </x:c>
    </x:row>
  </x:sheetData>
  <x:mergeCells>
    <x:mergeCell ref="A1:H1"/>
    <x:mergeCell ref="A24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6" hidden="0" customWidth="1"/>
    <x:col min="4" max="4" width="18" hidden="0" customWidth="1"/>
    <x:col min="5" max="5" width="16" hidden="0" customWidth="1"/>
    <x:col min="6" max="6" width="22" hidden="0" customWidth="1"/>
    <x:col min="7" max="7" width="54" hidden="0" customWidth="1"/>
  </x:cols>
  <x:sheetData>
    <x:row r="1" ht="19.200000762939453" hidden="0" customHeight="1">
      <x:c r="A1" s="42" t="str">
        <x:v>D8-COST-01 — Model assumptions and editable drivers</x:v>
      </x:c>
      <x:c r="B1" s="42" t="str">
        <x:v>D8-COST-01 — Model assumptions and editable drivers</x:v>
      </x:c>
      <x:c r="C1" s="42" t="str">
        <x:v>D8-COST-01 — Model assumptions and editable drivers</x:v>
      </x:c>
      <x:c r="D1" s="42" t="str">
        <x:v>D8-COST-01 — Model assumptions and editable drivers</x:v>
      </x:c>
      <x:c r="E1" s="42" t="str">
        <x:v>D8-COST-01 — Model assumptions and editable drivers</x:v>
      </x:c>
      <x:c r="F1" s="42" t="str">
        <x:v>D8-COST-01 — Model assumptions and editable drivers</x:v>
      </x:c>
      <x:c r="G1" s="42" t="str">
        <x:v>D8-COST-01 — Model assumptions and editable drivers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</x:row>
    <x:row r="3" ht="15" hidden="0" customHeight="1">
      <x:c r="A3" s="44" t="str">
        <x:v>ID</x:v>
      </x:c>
      <x:c r="B3" s="49" t="str">
        <x:v>Driver</x:v>
      </x:c>
      <x:c r="C3" s="49" t="str">
        <x:v>Value</x:v>
      </x:c>
      <x:c r="D3" s="49" t="str">
        <x:v>Unit</x:v>
      </x:c>
      <x:c r="E3" s="49" t="str">
        <x:v>Status</x:v>
      </x:c>
      <x:c r="F3" s="49" t="str">
        <x:v>Owner / dependency</x:v>
      </x:c>
      <x:c r="G3" s="45" t="str">
        <x:v>Notes</x:v>
      </x:c>
    </x:row>
    <x:row r="4" ht="15" hidden="0" customHeight="1">
      <x:c r="A4" s="46" t="str">
        <x:v>GEN-01</x:v>
      </x:c>
      <x:c r="B4" s="46" t="str">
        <x:v>AWS Region</x:v>
      </x:c>
      <x:c r="C4" s="46" t="str">
        <x:v>us-east-1</x:v>
      </x:c>
      <x:c r="D4" s="46" t="str">
        <x:v>text</x:v>
      </x:c>
      <x:c r="E4" s="46" t="str">
        <x:v>Confirmed</x:v>
      </x:c>
      <x:c r="F4" s="46" t="str">
        <x:v>CDO-08</x:v>
      </x:c>
      <x:c r="G4" s="46" t="str">
        <x:v>All modeled rates are us-east-1 On-Demand</x:v>
      </x:c>
    </x:row>
    <x:row r="5" ht="15" hidden="0" customHeight="1">
      <x:c r="A5" s="46" t="str">
        <x:v>GEN-02</x:v>
      </x:c>
      <x:c r="B5" s="46" t="str">
        <x:v>Hours per week</x:v>
      </x:c>
      <x:c r="C5" s="56" t="n">
        <x:v>168</x:v>
      </x:c>
      <x:c r="D5" s="46" t="str">
        <x:v>hours</x:v>
      </x:c>
      <x:c r="E5" s="46" t="str">
        <x:v>Policy</x:v>
      </x:c>
      <x:c r="F5" s="46" t="str">
        <x:v>CDO-04</x:v>
      </x:c>
      <x:c r="G5" s="46" t="str">
        <x:v>7 x 24</x:v>
      </x:c>
    </x:row>
    <x:row r="6" ht="15" hidden="0" customHeight="1">
      <x:c r="A6" s="46" t="str">
        <x:v>GEN-03</x:v>
      </x:c>
      <x:c r="B6" s="46" t="str">
        <x:v>Hours per month</x:v>
      </x:c>
      <x:c r="C6" s="56" t="n">
        <x:v>730</x:v>
      </x:c>
      <x:c r="D6" s="46" t="str">
        <x:v>hours</x:v>
      </x:c>
      <x:c r="E6" s="46" t="str">
        <x:v>Policy</x:v>
      </x:c>
      <x:c r="F6" s="46" t="str">
        <x:v>CDO-04</x:v>
      </x:c>
      <x:c r="G6" s="46" t="str">
        <x:v>AWS monthly convention</x:v>
      </x:c>
    </x:row>
    <x:row r="7" ht="15" hidden="0" customHeight="1">
      <x:c r="A7" s="46" t="str">
        <x:v>GEN-04</x:v>
      </x:c>
      <x:c r="B7" s="46" t="str">
        <x:v>Weekly budget guardrail</x:v>
      </x:c>
      <x:c r="C7" s="56" t="n">
        <x:v>300</x:v>
      </x:c>
      <x:c r="D7" s="46" t="str">
        <x:v>USD/week</x:v>
      </x:c>
      <x:c r="E7" s="46" t="str">
        <x:v>Confirmed</x:v>
      </x:c>
      <x:c r="F7" s="46" t="str">
        <x:v>Directive #8</x:v>
      </x:c>
      <x:c r="G7" s="46" t="str">
        <x:v>Whole TF infrastructure budget</x:v>
      </x:c>
    </x:row>
    <x:row r="8" ht="15" hidden="0" customHeight="1">
      <x:c r="A8" s="46" t="str">
        <x:v>GEN-05</x:v>
      </x:c>
      <x:c r="B8" s="46" t="str">
        <x:v>Current TF monthly projection</x:v>
      </x:c>
      <x:c r="C8" s="56" t="n">
        <x:v>270.72</x:v>
      </x:c>
      <x:c r="D8" s="46" t="str">
        <x:v>USD/month</x:v>
      </x:c>
      <x:c r="E8" s="46" t="str">
        <x:v>Proxy</x:v>
      </x:c>
      <x:c r="F8" s="46" t="str">
        <x:v>Cost Explorer baseline</x:v>
      </x:c>
      <x:c r="G8" s="46" t="str">
        <x:v>2026-07-15 MTD annualized to 30 days; not actual settled billing</x:v>
      </x:c>
    </x:row>
    <x:row r="9" ht="15" hidden="0" customHeight="1">
      <x:c r="A9" s="46" t="str">
        <x:v>GEN-06</x:v>
      </x:c>
      <x:c r="B9" s="46" t="str">
        <x:v>Weeks per model month</x:v>
      </x:c>
      <x:c r="C9" s="57" t="n">
        <x:f>'Assumptions'!C6/'Assumptions'!C5</x:f>
        <x:v>4.345238095238095</x:v>
      </x:c>
      <x:c r="D9" s="46" t="str">
        <x:v>weeks</x:v>
      </x:c>
      <x:c r="E9" s="46" t="str">
        <x:v>Calculated</x:v>
      </x:c>
      <x:c r="F9" s="46" t="str">
        <x:v>CDO-04</x:v>
      </x:c>
      <x:c r="G9" s="46" t="str">
        <x:v>Hours/month divided by hours/week</x:v>
      </x:c>
    </x:row>
    <x:row r="10" ht="15" hidden="0" customHeight="1">
      <x:c r="A10" s="46" t="str">
        <x:v>EKS-01</x:v>
      </x:c>
      <x:c r="B10" s="46" t="str">
        <x:v>Removable t3a.large nodes</x:v>
      </x:c>
      <x:c r="C10" s="57" t="n">
        <x:v>0</x:v>
      </x:c>
      <x:c r="D10" s="46" t="str">
        <x:v>nodes</x:v>
      </x:c>
      <x:c r="E10" s="46" t="str">
        <x:v>Conservative</x:v>
      </x:c>
      <x:c r="F10" s="46" t="str">
        <x:v>D8-PERF-02</x:v>
      </x:c>
      <x:c r="G10" s="46" t="str">
        <x:v>Keep 0 until post-cleanup node-hour evidence proves scale-down</x:v>
      </x:c>
    </x:row>
    <x:row r="11" ht="15" hidden="0" customHeight="1">
      <x:c r="A11" s="46" t="str">
        <x:v>EKS-02</x:v>
      </x:c>
      <x:c r="B11" s="46" t="str">
        <x:v>t3a.large On-Demand rate</x:v>
      </x:c>
      <x:c r="C11" s="57" t="n">
        <x:v>0.0752</x:v>
      </x:c>
      <x:c r="D11" s="46" t="str">
        <x:v>USD/hour</x:v>
      </x:c>
      <x:c r="E11" s="46" t="str">
        <x:v>Verified</x:v>
      </x:c>
      <x:c r="F11" s="46" t="str">
        <x:v>AWS Price List</x:v>
      </x:c>
      <x:c r="G11" s="46" t="str">
        <x:v>us-east-1 Linux shared tenancy</x:v>
      </x:c>
    </x:row>
    <x:row r="12" ht="15" hidden="0" customHeight="1">
      <x:c r="A12" s="46" t="str">
        <x:v>EKS-03</x:v>
      </x:c>
      <x:c r="B12" s="46" t="str">
        <x:v>Root EBS per removable node</x:v>
      </x:c>
      <x:c r="C12" s="57" t="n">
        <x:v>20</x:v>
      </x:c>
      <x:c r="D12" s="46" t="str">
        <x:v>GiB</x:v>
      </x:c>
      <x:c r="E12" s="46" t="str">
        <x:v>Confirmed</x:v>
      </x:c>
      <x:c r="F12" s="46" t="str">
        <x:v>EC2 inventory</x:v>
      </x:c>
      <x:c r="G12" s="46" t="str">
        <x:v>gp3 root volume</x:v>
      </x:c>
    </x:row>
    <x:row r="13" ht="15" hidden="0" customHeight="1">
      <x:c r="A13" s="46" t="str">
        <x:v>EKS-04</x:v>
      </x:c>
      <x:c r="B13" s="46" t="str">
        <x:v>gp3 EBS rate</x:v>
      </x:c>
      <x:c r="C13" s="57" t="n">
        <x:v>0.08</x:v>
      </x:c>
      <x:c r="D13" s="46" t="str">
        <x:v>USD/GiB-month</x:v>
      </x:c>
      <x:c r="E13" s="46" t="str">
        <x:v>Verified</x:v>
      </x:c>
      <x:c r="F13" s="46" t="str">
        <x:v>AWS Price List</x:v>
      </x:c>
      <x:c r="G13" s="46" t="str">
        <x:v>EC2 gp3, us-east-1</x:v>
      </x:c>
    </x:row>
    <x:row r="14" ht="15" hidden="0" customHeight="1">
      <x:c r="A14" s="46" t="str">
        <x:v>EKS-05</x:v>
      </x:c>
      <x:c r="B14" s="46" t="str">
        <x:v>gp2 EBS rate</x:v>
      </x:c>
      <x:c r="C14" s="57" t="n">
        <x:v>0.1</x:v>
      </x:c>
      <x:c r="D14" s="46" t="str">
        <x:v>USD/GiB-month</x:v>
      </x:c>
      <x:c r="E14" s="46" t="str">
        <x:v>Verified</x:v>
      </x:c>
      <x:c r="F14" s="46" t="str">
        <x:v>AWS Price List</x:v>
      </x:c>
      <x:c r="G14" s="46" t="str">
        <x:v>EKS datastore PVCs</x:v>
      </x:c>
    </x:row>
    <x:row r="15" ht="15" hidden="0" customHeight="1">
      <x:c r="A15" s="46" t="str">
        <x:v>RDS-01</x:v>
      </x:c>
      <x:c r="B15" s="46" t="str">
        <x:v>RDS db.t4g.micro Single-AZ</x:v>
      </x:c>
      <x:c r="C15" s="57" t="n">
        <x:v>0.016</x:v>
      </x:c>
      <x:c r="D15" s="46" t="str">
        <x:v>USD/hour</x:v>
      </x:c>
      <x:c r="E15" s="46" t="str">
        <x:v>CDO-08 estimate</x:v>
      </x:c>
      <x:c r="F15" s="46" t="str">
        <x:v>CDO-08 / AWS</x:v>
      </x:c>
      <x:c r="G15" s="46" t="str">
        <x:v>Replace with Price List export at execution</x:v>
      </x:c>
    </x:row>
    <x:row r="16" ht="15" hidden="0" customHeight="1">
      <x:c r="A16" s="46" t="str">
        <x:v>RDS-02</x:v>
      </x:c>
      <x:c r="B16" s="46" t="str">
        <x:v>RDS db.t4g.micro Multi-AZ</x:v>
      </x:c>
      <x:c r="C16" s="57" t="n">
        <x:v>0.032</x:v>
      </x:c>
      <x:c r="D16" s="46" t="str">
        <x:v>USD/hour</x:v>
      </x:c>
      <x:c r="E16" s="46" t="str">
        <x:v>CDO-08 estimate</x:v>
      </x:c>
      <x:c r="F16" s="46" t="str">
        <x:v>CDO-08 / AWS</x:v>
      </x:c>
      <x:c r="G16" s="46" t="str">
        <x:v>Primary plus synchronous standby</x:v>
      </x:c>
    </x:row>
    <x:row r="17" ht="15" hidden="0" customHeight="1">
      <x:c r="A17" s="46" t="str">
        <x:v>RDS-03</x:v>
      </x:c>
      <x:c r="B17" s="46" t="str">
        <x:v>RDS gp3 Single-AZ</x:v>
      </x:c>
      <x:c r="C17" s="57" t="n">
        <x:v>0.115</x:v>
      </x:c>
      <x:c r="D17" s="46" t="str">
        <x:v>USD/GiB-month</x:v>
      </x:c>
      <x:c r="E17" s="46" t="str">
        <x:v>Estimate</x:v>
      </x:c>
      <x:c r="F17" s="46" t="str">
        <x:v>CDO-04</x:v>
      </x:c>
      <x:c r="G17" s="46" t="str">
        <x:v>Editable pricing input</x:v>
      </x:c>
    </x:row>
    <x:row r="18" ht="15" hidden="0" customHeight="1">
      <x:c r="A18" s="46" t="str">
        <x:v>RDS-04</x:v>
      </x:c>
      <x:c r="B18" s="46" t="str">
        <x:v>RDS gp3 Multi-AZ</x:v>
      </x:c>
      <x:c r="C18" s="57" t="n">
        <x:v>0.23</x:v>
      </x:c>
      <x:c r="D18" s="46" t="str">
        <x:v>USD/GiB-month</x:v>
      </x:c>
      <x:c r="E18" s="46" t="str">
        <x:v>Estimate</x:v>
      </x:c>
      <x:c r="F18" s="46" t="str">
        <x:v>CDO-04</x:v>
      </x:c>
      <x:c r="G18" s="46" t="str">
        <x:v>Two storage copies</x:v>
      </x:c>
    </x:row>
    <x:row r="19" ht="15" hidden="0" customHeight="1">
      <x:c r="A19" s="46" t="str">
        <x:v>RDS-05</x:v>
      </x:c>
      <x:c r="B19" s="46" t="str">
        <x:v>RDS allocated storage</x:v>
      </x:c>
      <x:c r="C19" s="57" t="n">
        <x:v>20</x:v>
      </x:c>
      <x:c r="D19" s="46" t="str">
        <x:v>GiB</x:v>
      </x:c>
      <x:c r="E19" s="46" t="str">
        <x:v>Proposed</x:v>
      </x:c>
      <x:c r="F19" s="46" t="str">
        <x:v>CDO-08</x:v>
      </x:c>
      <x:c r="G19" s="46" t="str">
        <x:v>Current source PVC is 10 GiB</x:v>
      </x:c>
    </x:row>
    <x:row r="20" ht="15" hidden="0" customHeight="1">
      <x:c r="A20" s="46" t="str">
        <x:v>CACHE-01</x:v>
      </x:c>
      <x:c r="B20" s="46" t="str">
        <x:v>ElastiCache cache.t4g.micro</x:v>
      </x:c>
      <x:c r="C20" s="57" t="n">
        <x:v>0.016</x:v>
      </x:c>
      <x:c r="D20" s="46" t="str">
        <x:v>USD/hour/node</x:v>
      </x:c>
      <x:c r="E20" s="46" t="str">
        <x:v>Verified</x:v>
      </x:c>
      <x:c r="F20" s="46" t="str">
        <x:v>AWS Price List</x:v>
      </x:c>
      <x:c r="G20" s="46" t="str">
        <x:v>SKU GUTP43BSNHYMZJ57, verified 2026-07-17</x:v>
      </x:c>
    </x:row>
    <x:row r="21" ht="15" hidden="0" customHeight="1">
      <x:c r="A21" s="46" t="str">
        <x:v>CACHE-02</x:v>
      </x:c>
      <x:c r="B21" s="46" t="str">
        <x:v>Single-node count</x:v>
      </x:c>
      <x:c r="C21" s="57" t="n">
        <x:v>1</x:v>
      </x:c>
      <x:c r="D21" s="46" t="str">
        <x:v>nodes</x:v>
      </x:c>
      <x:c r="E21" s="46" t="str">
        <x:v>Option</x:v>
      </x:c>
      <x:c r="F21" s="46" t="str">
        <x:v>CDO-04</x:v>
      </x:c>
      <x:c r="G21" s="46" t="str">
        <x:v>No replica / no automatic failover</x:v>
      </x:c>
    </x:row>
    <x:row r="22" ht="15" hidden="0" customHeight="1">
      <x:c r="A22" s="46" t="str">
        <x:v>CACHE-03</x:v>
      </x:c>
      <x:c r="B22" s="46" t="str">
        <x:v>Multi-AZ node count</x:v>
      </x:c>
      <x:c r="C22" s="57" t="n">
        <x:v>2</x:v>
      </x:c>
      <x:c r="D22" s="46" t="str">
        <x:v>nodes</x:v>
      </x:c>
      <x:c r="E22" s="46" t="str">
        <x:v>Selected</x:v>
      </x:c>
      <x:c r="F22" s="46" t="str">
        <x:v>CDO-08</x:v>
      </x:c>
      <x:c r="G22" s="46" t="str">
        <x:v>1 primary + 1 replica</x:v>
      </x:c>
    </x:row>
    <x:row r="23" ht="15" hidden="0" customHeight="1">
      <x:c r="A23" s="46" t="str">
        <x:v>MSK-01</x:v>
      </x:c>
      <x:c r="B23" s="46" t="str">
        <x:v>Provisioned kafka.t3.small broker rate</x:v>
      </x:c>
      <x:c r="C23" s="57" t="n">
        <x:v>0.0456</x:v>
      </x:c>
      <x:c r="D23" s="46" t="str">
        <x:v>USD/hour/broker</x:v>
      </x:c>
      <x:c r="E23" s="46" t="str">
        <x:v>Estimate</x:v>
      </x:c>
      <x:c r="F23" s="46" t="str">
        <x:v>CDO-04</x:v>
      </x:c>
      <x:c r="G23" s="46" t="str">
        <x:v>Validate against Price List before approval</x:v>
      </x:c>
    </x:row>
    <x:row r="24" ht="15" hidden="0" customHeight="1">
      <x:c r="A24" s="46" t="str">
        <x:v>MSK-02</x:v>
      </x:c>
      <x:c r="B24" s="46" t="str">
        <x:v>Provisioned broker count</x:v>
      </x:c>
      <x:c r="C24" s="57" t="n">
        <x:v>3</x:v>
      </x:c>
      <x:c r="D24" s="46" t="str">
        <x:v>brokers</x:v>
      </x:c>
      <x:c r="E24" s="46" t="str">
        <x:v>Option</x:v>
      </x:c>
      <x:c r="F24" s="46" t="str">
        <x:v>CDO-08</x:v>
      </x:c>
      <x:c r="G24" s="46" t="str">
        <x:v>Smallest conventional 3-AZ cluster assumption</x:v>
      </x:c>
    </x:row>
    <x:row r="25" ht="15" hidden="0" customHeight="1">
      <x:c r="A25" s="46" t="str">
        <x:v>MSK-03</x:v>
      </x:c>
      <x:c r="B25" s="46" t="str">
        <x:v>Provisioned storage per broker</x:v>
      </x:c>
      <x:c r="C25" s="57" t="n">
        <x:v>10</x:v>
      </x:c>
      <x:c r="D25" s="46" t="str">
        <x:v>GiB</x:v>
      </x:c>
      <x:c r="E25" s="46" t="str">
        <x:v>Estimate</x:v>
      </x:c>
      <x:c r="F25" s="46" t="str">
        <x:v>D8-PERF-02</x:v>
      </x:c>
      <x:c r="G25" s="46" t="str">
        <x:v>Pending throughput and retention evidence</x:v>
      </x:c>
    </x:row>
    <x:row r="26" ht="15" hidden="0" customHeight="1">
      <x:c r="A26" s="46" t="str">
        <x:v>MSK-04</x:v>
      </x:c>
      <x:c r="B26" s="46" t="str">
        <x:v>MSK broker storage rate</x:v>
      </x:c>
      <x:c r="C26" s="57" t="n">
        <x:v>0.1</x:v>
      </x:c>
      <x:c r="D26" s="46" t="str">
        <x:v>USD/GiB-month</x:v>
      </x:c>
      <x:c r="E26" s="46" t="str">
        <x:v>Estimate</x:v>
      </x:c>
      <x:c r="F26" s="46" t="str">
        <x:v>CDO-04</x:v>
      </x:c>
      <x:c r="G26" s="46" t="str">
        <x:v>Editable pricing input</x:v>
      </x:c>
    </x:row>
    <x:row r="27" ht="15" hidden="0" customHeight="1">
      <x:c r="A27" s="46" t="str">
        <x:v>MSK-05</x:v>
      </x:c>
      <x:c r="B27" s="46" t="str">
        <x:v>MSK Serverless cluster capacity</x:v>
      </x:c>
      <x:c r="C27" s="57" t="n">
        <x:v>0.75</x:v>
      </x:c>
      <x:c r="D27" s="46" t="str">
        <x:v>USD/hour</x:v>
      </x:c>
      <x:c r="E27" s="46" t="str">
        <x:v>Estimate</x:v>
      </x:c>
      <x:c r="F27" s="46" t="str">
        <x:v>AWS pricing</x:v>
      </x:c>
      <x:c r="G27" s="46" t="str">
        <x:v>Base capacity charge</x:v>
      </x:c>
    </x:row>
    <x:row r="28" ht="15" hidden="0" customHeight="1">
      <x:c r="A28" s="46" t="str">
        <x:v>MSK-06</x:v>
      </x:c>
      <x:c r="B28" s="46" t="str">
        <x:v>MSK Serverless data processing</x:v>
      </x:c>
      <x:c r="C28" s="57" t="n">
        <x:v>0.1</x:v>
      </x:c>
      <x:c r="D28" s="46" t="str">
        <x:v>USD/GiB</x:v>
      </x:c>
      <x:c r="E28" s="46" t="str">
        <x:v>Estimate</x:v>
      </x:c>
      <x:c r="F28" s="46" t="str">
        <x:v>AWS pricing</x:v>
      </x:c>
      <x:c r="G28" s="46" t="str">
        <x:v>Ingress + egress metered assumption</x:v>
      </x:c>
    </x:row>
    <x:row r="29" ht="15" hidden="0" customHeight="1">
      <x:c r="A29" s="46" t="str">
        <x:v>MSK-07</x:v>
      </x:c>
      <x:c r="B29" s="46" t="str">
        <x:v>MSK monthly data processed</x:v>
      </x:c>
      <x:c r="C29" s="57" t="n">
        <x:v>10</x:v>
      </x:c>
      <x:c r="D29" s="46" t="str">
        <x:v>GiB/month</x:v>
      </x:c>
      <x:c r="E29" s="46" t="str">
        <x:v>Placeholder</x:v>
      </x:c>
      <x:c r="F29" s="46" t="str">
        <x:v>D8-PERF-02</x:v>
      </x:c>
      <x:c r="G29" s="46" t="str">
        <x:v>Replace with producer + consumer throughput baseline</x:v>
      </x:c>
    </x:row>
    <x:row r="30" ht="15" hidden="0" customHeight="1">
      <x:c r="A30" s="46" t="str">
        <x:v>MSK-08</x:v>
      </x:c>
      <x:c r="B30" s="46" t="str">
        <x:v>MSK Serverless storage</x:v>
      </x:c>
      <x:c r="C30" s="57" t="n">
        <x:v>10</x:v>
      </x:c>
      <x:c r="D30" s="46" t="str">
        <x:v>GiB-month</x:v>
      </x:c>
      <x:c r="E30" s="46" t="str">
        <x:v>Placeholder</x:v>
      </x:c>
      <x:c r="F30" s="46" t="str">
        <x:v>D8-PERF-02</x:v>
      </x:c>
      <x:c r="G30" s="46" t="str">
        <x:v>Replace with retention footprint</x:v>
      </x:c>
    </x:row>
    <x:row r="31" ht="15" hidden="0" customHeight="1">
      <x:c r="A31" s="46" t="str">
        <x:v>SHARED-01</x:v>
      </x:c>
      <x:c r="B31" s="46" t="str">
        <x:v>Secrets Manager secrets</x:v>
      </x:c>
      <x:c r="C31" s="57" t="n">
        <x:v>3</x:v>
      </x:c>
      <x:c r="D31" s="46" t="str">
        <x:v>secrets</x:v>
      </x:c>
      <x:c r="E31" s="46" t="str">
        <x:v>Estimate</x:v>
      </x:c>
      <x:c r="F31" s="46" t="str">
        <x:v>Security</x:v>
      </x:c>
      <x:c r="G31" s="46" t="str">
        <x:v>One per managed data service</x:v>
      </x:c>
    </x:row>
    <x:row r="32" ht="15" hidden="0" customHeight="1">
      <x:c r="A32" s="46" t="str">
        <x:v>SHARED-02</x:v>
      </x:c>
      <x:c r="B32" s="46" t="str">
        <x:v>Secrets Manager rate</x:v>
      </x:c>
      <x:c r="C32" s="57" t="n">
        <x:v>0.4</x:v>
      </x:c>
      <x:c r="D32" s="46" t="str">
        <x:v>USD/secret-month</x:v>
      </x:c>
      <x:c r="E32" s="46" t="str">
        <x:v>Estimate</x:v>
      </x:c>
      <x:c r="F32" s="46" t="str">
        <x:v>AWS pricing</x:v>
      </x:c>
      <x:c r="G32" s="46" t="str">
        <x:v>API calls excluded until measured</x:v>
      </x:c>
    </x:row>
    <x:row r="33" ht="15" hidden="0" customHeight="1">
      <x:c r="A33" s="46" t="str">
        <x:v>SHARED-03</x:v>
      </x:c>
      <x:c r="B33" s="46" t="str">
        <x:v>Customer-managed KMS keys</x:v>
      </x:c>
      <x:c r="C33" s="57" t="n">
        <x:v>3</x:v>
      </x:c>
      <x:c r="D33" s="46" t="str">
        <x:v>keys</x:v>
      </x:c>
      <x:c r="E33" s="46" t="str">
        <x:v>Estimate</x:v>
      </x:c>
      <x:c r="F33" s="46" t="str">
        <x:v>Security</x:v>
      </x:c>
      <x:c r="G33" s="46" t="str">
        <x:v>Confirm whether shared key policy is allowed</x:v>
      </x:c>
    </x:row>
    <x:row r="34" ht="15" hidden="0" customHeight="1">
      <x:c r="A34" s="46" t="str">
        <x:v>SHARED-04</x:v>
      </x:c>
      <x:c r="B34" s="46" t="str">
        <x:v>KMS key rate</x:v>
      </x:c>
      <x:c r="C34" s="57" t="n">
        <x:v>1</x:v>
      </x:c>
      <x:c r="D34" s="46" t="str">
        <x:v>USD/key-month</x:v>
      </x:c>
      <x:c r="E34" s="46" t="str">
        <x:v>Estimate</x:v>
      </x:c>
      <x:c r="F34" s="46" t="str">
        <x:v>AWS pricing</x:v>
      </x:c>
      <x:c r="G34" s="46" t="str">
        <x:v>KMS requests excluded until measured</x:v>
      </x:c>
    </x:row>
    <x:row r="35" ht="15" hidden="0" customHeight="1">
      <x:c r="A35" s="46" t="str">
        <x:v>SHARED-05</x:v>
      </x:c>
      <x:c r="B35" s="46" t="str">
        <x:v>CloudWatch logs ingested</x:v>
      </x:c>
      <x:c r="C35" s="57" t="n">
        <x:v>5</x:v>
      </x:c>
      <x:c r="D35" s="46" t="str">
        <x:v>GiB/month</x:v>
      </x:c>
      <x:c r="E35" s="46" t="str">
        <x:v>Placeholder</x:v>
      </x:c>
      <x:c r="F35" s="46" t="str">
        <x:v>D8-PERF-02</x:v>
      </x:c>
      <x:c r="G35" s="46" t="str">
        <x:v>Managed data logs only</x:v>
      </x:c>
    </x:row>
    <x:row r="36" ht="15" hidden="0" customHeight="1">
      <x:c r="A36" s="46" t="str">
        <x:v>SHARED-06</x:v>
      </x:c>
      <x:c r="B36" s="46" t="str">
        <x:v>CloudWatch ingestion rate</x:v>
      </x:c>
      <x:c r="C36" s="57" t="n">
        <x:v>0.5</x:v>
      </x:c>
      <x:c r="D36" s="46" t="str">
        <x:v>USD/GiB</x:v>
      </x:c>
      <x:c r="E36" s="46" t="str">
        <x:v>Estimate</x:v>
      </x:c>
      <x:c r="F36" s="46" t="str">
        <x:v>AWS pricing</x:v>
      </x:c>
      <x:c r="G36" s="46" t="str">
        <x:v>Standard logs</x:v>
      </x:c>
    </x:row>
    <x:row r="37" ht="15" hidden="0" customHeight="1">
      <x:c r="A37" s="46" t="str">
        <x:v>SHARED-07</x:v>
      </x:c>
      <x:c r="B37" s="46" t="str">
        <x:v>CloudWatch stored logs</x:v>
      </x:c>
      <x:c r="C37" s="57" t="n">
        <x:v>5</x:v>
      </x:c>
      <x:c r="D37" s="46" t="str">
        <x:v>GiB-month</x:v>
      </x:c>
      <x:c r="E37" s="46" t="str">
        <x:v>Placeholder</x:v>
      </x:c>
      <x:c r="F37" s="46" t="str">
        <x:v>D8-PERF-02</x:v>
      </x:c>
      <x:c r="G37" s="46" t="str">
        <x:v>After retention policy</x:v>
      </x:c>
    </x:row>
    <x:row r="38" ht="15" hidden="0" customHeight="1">
      <x:c r="A38" s="46" t="str">
        <x:v>SHARED-08</x:v>
      </x:c>
      <x:c r="B38" s="46" t="str">
        <x:v>CloudWatch storage rate</x:v>
      </x:c>
      <x:c r="C38" s="57" t="n">
        <x:v>0.03</x:v>
      </x:c>
      <x:c r="D38" s="46" t="str">
        <x:v>USD/GiB-month</x:v>
      </x:c>
      <x:c r="E38" s="46" t="str">
        <x:v>Estimate</x:v>
      </x:c>
      <x:c r="F38" s="46" t="str">
        <x:v>AWS pricing</x:v>
      </x:c>
      <x:c r="G38" s="46" t="str">
        <x:v>Standard logs</x:v>
      </x:c>
    </x:row>
    <x:row r="39" ht="15" hidden="0" customHeight="1">
      <x:c r="A39" s="46" t="str">
        <x:v>SHARED-09</x:v>
      </x:c>
      <x:c r="B39" s="46" t="str">
        <x:v>Cross-AZ data transfer</x:v>
      </x:c>
      <x:c r="C39" s="57" t="n">
        <x:v>5</x:v>
      </x:c>
      <x:c r="D39" s="46" t="str">
        <x:v>GiB/month</x:v>
      </x:c>
      <x:c r="E39" s="46" t="str">
        <x:v>Placeholder</x:v>
      </x:c>
      <x:c r="F39" s="46" t="str">
        <x:v>D8-PERF-02</x:v>
      </x:c>
      <x:c r="G39" s="46" t="str">
        <x:v>EC2 side charges and service-specific rules must be reconciled</x:v>
      </x:c>
    </x:row>
    <x:row r="40" ht="15" hidden="0" customHeight="1">
      <x:c r="A40" s="43" t="str">
        <x:v>SHARED-10</x:v>
      </x:c>
      <x:c r="B40" s="43" t="str">
        <x:v>Cross-AZ transfer rate</x:v>
      </x:c>
      <x:c r="C40" s="43" t="n">
        <x:v>0.01</x:v>
      </x:c>
      <x:c r="D40" s="43" t="str">
        <x:v>USD/GiB</x:v>
      </x:c>
      <x:c r="E40" s="43" t="str">
        <x:v>Estimate</x:v>
      </x:c>
      <x:c r="F40" s="43" t="str">
        <x:v>AWS pricing</x:v>
      </x:c>
      <x:c r="G40" s="43" t="str">
        <x:v>Editable</x:v>
      </x:c>
    </x:row>
  </x:sheetData>
  <x:mergeCells>
    <x:mergeCell ref="A1:G1"/>
  </x:mergeCells>
  <x:pageMargins left="0.7" right="0.7" top="0.75" bottom="0.75" header="0.3" footer="0.3"/>
  <x:legacyDrawing xmlns:r="http://schemas.openxmlformats.org/officeDocument/2006/relationships" r:id="R0e4d6711f32047e4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52" hidden="0" customWidth="1"/>
  </x:cols>
  <x:sheetData>
    <x:row r="1" ht="19.200000762939453" hidden="0" customHeight="1">
      <x:c r="A1" s="42" t="str">
        <x:v>Before migration — attributable data-layer cost baseline</x:v>
      </x:c>
      <x:c r="B1" s="42" t="str">
        <x:v>Before migration — attributable data-layer cost baseline</x:v>
      </x:c>
      <x:c r="C1" s="42" t="str">
        <x:v>Before migration — attributable data-layer cost baseline</x:v>
      </x:c>
      <x:c r="D1" s="42" t="str">
        <x:v>Before migration — attributable data-layer cost baseline</x:v>
      </x:c>
      <x:c r="E1" s="42" t="str">
        <x:v>Before migration — attributable data-layer cost baseline</x:v>
      </x:c>
      <x:c r="F1" s="42" t="str">
        <x:v>Before migration — attributable data-layer cost baseline</x:v>
      </x:c>
      <x:c r="G1" s="42" t="str">
        <x:v>Before migration — attributable data-layer cost baseline</x:v>
      </x:c>
      <x:c r="H1" s="42" t="str">
        <x:v>Before migration — attributable data-layer cost baseline</x:v>
      </x:c>
      <x:c r="I1" s="42" t="str">
        <x:v>Before migration — attributable data-layer cost baseline</x:v>
      </x:c>
      <x:c r="J1" s="42" t="str">
        <x:v>Before migration — attributable data-layer cost baseline</x:v>
      </x:c>
      <x:c r="K1" s="42" t="str">
        <x:v>Before migration — attributable data-layer cost baseline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</x:row>
    <x:row r="3" ht="26.399999618530273" hidden="0" customHeight="1">
      <x:c r="A3" s="44" t="str">
        <x:v>Cost item</x:v>
      </x:c>
      <x:c r="B3" s="49" t="str">
        <x:v>Quantity</x:v>
      </x:c>
      <x:c r="C3" s="49" t="str">
        <x:v>Unit</x:v>
      </x:c>
      <x:c r="D3" s="49" t="str">
        <x:v>Rate</x:v>
      </x:c>
      <x:c r="E3" s="49" t="str">
        <x:v>Rate unit</x:v>
      </x:c>
      <x:c r="F3" s="49" t="str">
        <x:v>Monthly modeled</x:v>
      </x:c>
      <x:c r="G3" s="49" t="str">
        <x:v>Weekly modeled</x:v>
      </x:c>
      <x:c r="H3" s="49" t="str">
        <x:v>Removed after PASS?</x:v>
      </x:c>
      <x:c r="I3" s="49" t="str">
        <x:v>Monthly removed</x:v>
      </x:c>
      <x:c r="J3" s="49" t="str">
        <x:v>Evidence status</x:v>
      </x:c>
      <x:c r="K3" s="45" t="str">
        <x:v>Evidence / note</x:v>
      </x:c>
    </x:row>
    <x:row r="4" ht="26.399999618530273" hidden="0" customHeight="1">
      <x:c r="A4" s="46" t="str">
        <x:v>Removable EKS worker compute</x:v>
      </x:c>
      <x:c r="B4" s="46" t="n">
        <x:f>'Assumptions'!C10</x:f>
        <x:v>0</x:v>
      </x:c>
      <x:c r="C4" s="46" t="str">
        <x:v>nodes</x:v>
      </x:c>
      <x:c r="D4" s="46" t="n">
        <x:f>'Assumptions'!C11</x:f>
        <x:v>0.0752</x:v>
      </x:c>
      <x:c r="E4" s="46" t="str">
        <x:v>USD/hour</x:v>
      </x:c>
      <x:c r="F4" s="50" t="n">
        <x:f>B4*D4*'Assumptions'!C6</x:f>
        <x:v>0</x:v>
      </x:c>
      <x:c r="G4" s="50" t="n">
        <x:f>F4/'Assumptions'!C9</x:f>
        <x:v>0</x:v>
      </x:c>
      <x:c r="H4" s="50" t="str">
        <x:v>Yes, only if proven</x:v>
      </x:c>
      <x:c r="I4" s="50" t="n">
        <x:f>IF(OR(H4="Yes",H4="Yes, only if proven",H4="Yes, with node"),F4,0)</x:f>
        <x:v>0</x:v>
      </x:c>
      <x:c r="J4" s="46" t="str">
        <x:v>PENDING</x:v>
      </x:c>
      <x:c r="K4" s="46" t="str">
        <x:v>Default is zero nodes; post-cleanup NodeClaim/node-hour evidence required</x:v>
      </x:c>
    </x:row>
    <x:row r="5" ht="15" hidden="0" customHeight="1">
      <x:c r="A5" s="46" t="str">
        <x:v>Root EBS for removable workers</x:v>
      </x:c>
      <x:c r="B5" s="46" t="n">
        <x:f>B4*'Assumptions'!C12</x:f>
        <x:v>0</x:v>
      </x:c>
      <x:c r="C5" s="46" t="str">
        <x:v>GiB</x:v>
      </x:c>
      <x:c r="D5" s="46" t="n">
        <x:f>'Assumptions'!C13</x:f>
        <x:v>0.08</x:v>
      </x:c>
      <x:c r="E5" s="46" t="str">
        <x:v>USD/GiB-month</x:v>
      </x:c>
      <x:c r="F5" s="50" t="n">
        <x:f>B5*D5</x:f>
        <x:v>0</x:v>
      </x:c>
      <x:c r="G5" s="50" t="n">
        <x:f>F5/'Assumptions'!C9</x:f>
        <x:v>0</x:v>
      </x:c>
      <x:c r="H5" s="50" t="str">
        <x:v>Yes, with node</x:v>
      </x:c>
      <x:c r="I5" s="50" t="n">
        <x:f>IF(OR(H5="Yes",H5="Yes, only if proven",H5="Yes, with node"),F5,0)</x:f>
        <x:v>0</x:v>
      </x:c>
      <x:c r="J5" s="46" t="str">
        <x:v>PENDING</x:v>
      </x:c>
      <x:c r="K5" s="46" t="str">
        <x:v>Only removed if corresponding worker is removed</x:v>
      </x:c>
    </x:row>
    <x:row r="6" ht="15" hidden="0" customHeight="1">
      <x:c r="A6" s="46" t="str">
        <x:v>PostgreSQL PVC gp2</x:v>
      </x:c>
      <x:c r="B6" s="46" t="n">
        <x:v>10</x:v>
      </x:c>
      <x:c r="C6" s="46" t="str">
        <x:v>GiB</x:v>
      </x:c>
      <x:c r="D6" s="46" t="n">
        <x:f>'Assumptions'!C14</x:f>
        <x:v>0.1</x:v>
      </x:c>
      <x:c r="E6" s="46" t="str">
        <x:v>USD/GiB-month</x:v>
      </x:c>
      <x:c r="F6" s="50" t="n">
        <x:f>B6*D6</x:f>
        <x:v>1</x:v>
      </x:c>
      <x:c r="G6" s="50" t="n">
        <x:f>F6/'Assumptions'!C9</x:f>
        <x:v>0.2301369863013699</x:v>
      </x:c>
      <x:c r="H6" s="50" t="str">
        <x:v>Yes</x:v>
      </x:c>
      <x:c r="I6" s="50" t="n">
        <x:f>IF(OR(H6="Yes",H6="Yes, only if proven",H6="Yes, with node"),F6,0)</x:f>
        <x:v>1</x:v>
      </x:c>
      <x:c r="J6" s="46" t="str">
        <x:v>Manifest</x:v>
      </x:c>
      <x:c r="K6" s="46" t="str">
        <x:v>postgresql-pvc, gp2, 10 GiB</x:v>
      </x:c>
    </x:row>
    <x:row r="7" ht="15" hidden="0" customHeight="1">
      <x:c r="A7" s="46" t="str">
        <x:v>Valkey PVC gp2</x:v>
      </x:c>
      <x:c r="B7" s="46" t="n">
        <x:v>5</x:v>
      </x:c>
      <x:c r="C7" s="46" t="str">
        <x:v>GiB</x:v>
      </x:c>
      <x:c r="D7" s="46" t="n">
        <x:f>'Assumptions'!C14</x:f>
        <x:v>0.1</x:v>
      </x:c>
      <x:c r="E7" s="46" t="str">
        <x:v>USD/GiB-month</x:v>
      </x:c>
      <x:c r="F7" s="50" t="n">
        <x:f>B7*D7</x:f>
        <x:v>0.5</x:v>
      </x:c>
      <x:c r="G7" s="50" t="n">
        <x:f>F7/'Assumptions'!C9</x:f>
        <x:v>0.11506849315068494</x:v>
      </x:c>
      <x:c r="H7" s="50" t="str">
        <x:v>Yes</x:v>
      </x:c>
      <x:c r="I7" s="50" t="n">
        <x:f>IF(OR(H7="Yes",H7="Yes, only if proven",H7="Yes, with node"),F7,0)</x:f>
        <x:v>0.5</x:v>
      </x:c>
      <x:c r="J7" s="46" t="str">
        <x:v>Manifest</x:v>
      </x:c>
      <x:c r="K7" s="46" t="str">
        <x:v>valkey-cart-pvc, gp2, 5 GiB</x:v>
      </x:c>
    </x:row>
    <x:row r="8" ht="15" hidden="0" customHeight="1">
      <x:c r="A8" s="46" t="str">
        <x:v>Kafka PVC gp2</x:v>
      </x:c>
      <x:c r="B8" s="46" t="n">
        <x:v>10</x:v>
      </x:c>
      <x:c r="C8" s="46" t="str">
        <x:v>GiB</x:v>
      </x:c>
      <x:c r="D8" s="46" t="n">
        <x:f>'Assumptions'!C14</x:f>
        <x:v>0.1</x:v>
      </x:c>
      <x:c r="E8" s="46" t="str">
        <x:v>USD/GiB-month</x:v>
      </x:c>
      <x:c r="F8" s="50" t="n">
        <x:f>B8*D8</x:f>
        <x:v>1</x:v>
      </x:c>
      <x:c r="G8" s="50" t="n">
        <x:f>F8/'Assumptions'!C9</x:f>
        <x:v>0.2301369863013699</x:v>
      </x:c>
      <x:c r="H8" s="50" t="str">
        <x:v>Yes</x:v>
      </x:c>
      <x:c r="I8" s="50" t="n">
        <x:f>IF(OR(H8="Yes",H8="Yes, only if proven",H8="Yes, with node"),F8,0)</x:f>
        <x:v>1</x:v>
      </x:c>
      <x:c r="J8" s="46" t="str">
        <x:v>Manifest</x:v>
      </x:c>
      <x:c r="K8" s="46" t="str">
        <x:v>kafka-pvc, gp2, 10 GiB</x:v>
      </x:c>
    </x:row>
    <x:row r="9" ht="15" hidden="0" customHeight="1">
      <x:c r="A9" s="46" t="str">
        <x:v>Data-pod CPU requests</x:v>
      </x:c>
      <x:c r="B9" s="46" t="n">
        <x:v>170</x:v>
      </x:c>
      <x:c r="C9" s="46" t="str">
        <x:v>millicores</x:v>
      </x:c>
      <x:c r="D9" s="46" t="n">
        <x:v>0</x:v>
      </x:c>
      <x:c r="E9" s="46" t="str">
        <x:v>informational</x:v>
      </x:c>
      <x:c r="F9" s="50" t="n">
        <x:v>0</x:v>
      </x:c>
      <x:c r="G9" s="50" t="n">
        <x:f>F9/'Assumptions'!C9</x:f>
        <x:v>0</x:v>
      </x:c>
      <x:c r="H9" s="50" t="str">
        <x:v>Capacity only</x:v>
      </x:c>
      <x:c r="I9" s="50" t="n">
        <x:f>IF(OR(H9="Yes",H9="Yes, only if proven",H9="Yes, with node"),F9,0)</x:f>
        <x:v>0</x:v>
      </x:c>
      <x:c r="J9" s="46" t="str">
        <x:v>Manifest</x:v>
      </x:c>
      <x:c r="K9" s="46" t="str">
        <x:v>PostgreSQL 50m + Valkey 20m + Kafka 100m</x:v>
      </x:c>
    </x:row>
    <x:row r="10" ht="15" hidden="0" customHeight="1">
      <x:c r="A10" s="46" t="str">
        <x:v>Data-pod memory requests</x:v>
      </x:c>
      <x:c r="B10" s="46" t="n">
        <x:v>988</x:v>
      </x:c>
      <x:c r="C10" s="46" t="str">
        <x:v>MiB</x:v>
      </x:c>
      <x:c r="D10" s="46" t="n">
        <x:v>0</x:v>
      </x:c>
      <x:c r="E10" s="46" t="str">
        <x:v>informational</x:v>
      </x:c>
      <x:c r="F10" s="50" t="n">
        <x:v>0</x:v>
      </x:c>
      <x:c r="G10" s="50" t="n">
        <x:f>F10/'Assumptions'!C9</x:f>
        <x:v>0</x:v>
      </x:c>
      <x:c r="H10" s="50" t="str">
        <x:v>Capacity only</x:v>
      </x:c>
      <x:c r="I10" s="50" t="n">
        <x:f>IF(OR(H10="Yes",H10="Yes, only if proven",H10="Yes, with node"),F10,0)</x:f>
        <x:v>0</x:v>
      </x:c>
      <x:c r="J10" s="46" t="str">
        <x:v>Manifest</x:v>
      </x:c>
      <x:c r="K10" s="46" t="str">
        <x:v>PostgreSQL 256 + Valkey 32 + Kafka 700 MiB</x:v>
      </x:c>
    </x:row>
    <x:row r="11" ht="15" hidden="0" customHeight="1">
      <x:c r="A11" s="46" t="str">
        <x:v>Data-pod CPU limits</x:v>
      </x:c>
      <x:c r="B11" s="46" t="n">
        <x:v>1100</x:v>
      </x:c>
      <x:c r="C11" s="46" t="str">
        <x:v>millicores</x:v>
      </x:c>
      <x:c r="D11" s="46" t="n">
        <x:v>0</x:v>
      </x:c>
      <x:c r="E11" s="46" t="str">
        <x:v>informational</x:v>
      </x:c>
      <x:c r="F11" s="50" t="n">
        <x:v>0</x:v>
      </x:c>
      <x:c r="G11" s="50" t="n">
        <x:f>F11/'Assumptions'!C9</x:f>
        <x:v>0</x:v>
      </x:c>
      <x:c r="H11" s="50" t="str">
        <x:v>Capacity only</x:v>
      </x:c>
      <x:c r="I11" s="50" t="n">
        <x:f>IF(OR(H11="Yes",H11="Yes, only if proven",H11="Yes, with node"),F11,0)</x:f>
        <x:v>0</x:v>
      </x:c>
      <x:c r="J11" s="46" t="str">
        <x:v>Manifest</x:v>
      </x:c>
      <x:c r="K11" s="46" t="str">
        <x:v>PostgreSQL 500m + Valkey 100m + Kafka 500m</x:v>
      </x:c>
    </x:row>
    <x:row r="12" ht="15" hidden="0" customHeight="1">
      <x:c r="A12" s="46" t="str">
        <x:v>Data-pod memory limits</x:v>
      </x:c>
      <x:c r="B12" s="46" t="n">
        <x:v>1276</x:v>
      </x:c>
      <x:c r="C12" s="46" t="str">
        <x:v>MiB</x:v>
      </x:c>
      <x:c r="D12" s="46" t="n">
        <x:v>0</x:v>
      </x:c>
      <x:c r="E12" s="46" t="str">
        <x:v>informational</x:v>
      </x:c>
      <x:c r="F12" s="50" t="n">
        <x:v>0</x:v>
      </x:c>
      <x:c r="G12" s="50" t="n">
        <x:f>F12/'Assumptions'!C9</x:f>
        <x:v>0</x:v>
      </x:c>
      <x:c r="H12" s="50" t="str">
        <x:v>Capacity only</x:v>
      </x:c>
      <x:c r="I12" s="50" t="n">
        <x:f>IF(OR(H12="Yes",H12="Yes, only if proven",H12="Yes, with node"),F12,0)</x:f>
        <x:v>0</x:v>
      </x:c>
      <x:c r="J12" s="46" t="str">
        <x:v>Manifest</x:v>
      </x:c>
      <x:c r="K12" s="46" t="str">
        <x:v>PostgreSQL 512 + Valkey 64 + Kafka 700 MiB</x:v>
      </x:c>
    </x:row>
    <x:row r="13" ht="15" hidden="0" customHeight="1">
      <x:c r="A13" s="46" t="str">
        <x:v>Datastore-specific logging/monitoring</x:v>
      </x:c>
      <x:c r="B13" s="46" t="n">
        <x:v>0</x:v>
      </x:c>
      <x:c r="C13" s="46" t="str">
        <x:v>USD/month</x:v>
      </x:c>
      <x:c r="D13" s="46" t="n">
        <x:v>0</x:v>
      </x:c>
      <x:c r="E13" s="46" t="str">
        <x:v>USD/month</x:v>
      </x:c>
      <x:c r="F13" s="50" t="n">
        <x:v>0</x:v>
      </x:c>
      <x:c r="G13" s="50" t="n">
        <x:f>F13/'Assumptions'!C9</x:f>
        <x:v>0</x:v>
      </x:c>
      <x:c r="H13" s="50" t="str">
        <x:v>No</x:v>
      </x:c>
      <x:c r="I13" s="50" t="n">
        <x:f>IF(OR(H13="Yes",H13="Yes, only if proven",H13="Yes, with node"),F13,0)</x:f>
        <x:v>0</x:v>
      </x:c>
      <x:c r="J13" s="46" t="str">
        <x:v>PENDING</x:v>
      </x:c>
      <x:c r="K13" s="46" t="str">
        <x:v>Cannot isolate from existing aggregate; do not claim savings</x:v>
      </x:c>
    </x:row>
    <x:row r="14" ht="15" hidden="0" customHeight="1">
      <x:c r="A14" s="46"/>
      <x:c r="B14" s="46"/>
      <x:c r="C14" s="46"/>
      <x:c r="D14" s="46"/>
      <x:c r="E14" s="46"/>
      <x:c r="F14" s="50"/>
      <x:c r="G14" s="50"/>
      <x:c r="H14" s="50"/>
      <x:c r="I14" s="50"/>
      <x:c r="J14" s="46"/>
      <x:c r="K14" s="46"/>
    </x:row>
    <x:row r="15" ht="15" hidden="0" customHeight="1">
      <x:c r="A15" s="51" t="str">
        <x:v>TOTAL ATTRIBUTABLE / REMOVABLE</x:v>
      </x:c>
      <x:c r="B15" s="52" t="str">
        <x:v>TOTAL ATTRIBUTABLE / REMOVABLE</x:v>
      </x:c>
      <x:c r="C15" s="52" t="str">
        <x:v>TOTAL ATTRIBUTABLE / REMOVABLE</x:v>
      </x:c>
      <x:c r="D15" s="52" t="str">
        <x:v>TOTAL ATTRIBUTABLE / REMOVABLE</x:v>
      </x:c>
      <x:c r="E15" s="52" t="str">
        <x:v>TOTAL ATTRIBUTABLE / REMOVABLE</x:v>
      </x:c>
      <x:c r="F15" s="58" t="n">
        <x:f>SUM(F4:F13)</x:f>
        <x:v>2.5</x:v>
      </x:c>
      <x:c r="G15" s="58" t="n">
        <x:f>SUM(G4:G13)</x:f>
        <x:v>0.5753424657534247</x:v>
      </x:c>
      <x:c r="H15" s="58"/>
      <x:c r="I15" s="58" t="n">
        <x:f>SUM(I4:I13)</x:f>
        <x:v>2.5</x:v>
      </x:c>
      <x:c r="J15" s="52"/>
      <x:c r="K15" s="53"/>
    </x:row>
  </x:sheetData>
  <x:mergeCells>
    <x:mergeCell ref="A1:K1"/>
    <x:mergeCell ref="A15:E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4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8" hidden="0" customWidth="1"/>
  </x:cols>
  <x:sheetData>
    <x:row r="1" ht="19.200000762939453" hidden="0" customHeight="1">
      <x:c r="A1" s="42" t="str">
        <x:v>After migration — managed service options (modeled, not actual billing)</x:v>
      </x:c>
      <x:c r="B1" s="42" t="str">
        <x:v>After migration — managed service options (modeled, not actual billing)</x:v>
      </x:c>
      <x:c r="C1" s="42" t="str">
        <x:v>After migration — managed service options (modeled, not actual billing)</x:v>
      </x:c>
      <x:c r="D1" s="42" t="str">
        <x:v>After migration — managed service options (modeled, not actual billing)</x:v>
      </x:c>
      <x:c r="E1" s="42" t="str">
        <x:v>After migration — managed service options (modeled, not actual billing)</x:v>
      </x:c>
      <x:c r="F1" s="42" t="str">
        <x:v>After migration — managed service options (modeled, not actual billing)</x:v>
      </x:c>
      <x:c r="G1" s="42" t="str">
        <x:v>After migration — managed service options (modeled, not actual billing)</x:v>
      </x:c>
      <x:c r="H1" s="42" t="str">
        <x:v>After migration — managed service options (modeled, not actual billing)</x:v>
      </x:c>
      <x:c r="I1" s="42" t="str">
        <x:v>After migration — managed service options (modeled, not actual billing)</x:v>
      </x:c>
      <x:c r="J1" s="42" t="str">
        <x:v>After migration — managed service options (modeled, not actual billing)</x:v>
      </x:c>
      <x:c r="K1" s="42" t="str">
        <x:v>After migration — managed service options (modeled, not actual billing)</x:v>
      </x:c>
      <x:c r="L1" s="42" t="str">
        <x:v>After migration — managed service options (modeled, not actual billing)</x:v>
      </x:c>
      <x:c r="M1" s="42" t="str">
        <x:v>After migration — managed service options (modeled, not actual billing)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</x:row>
    <x:row r="3" ht="15" hidden="0" customHeight="1">
      <x:c r="A3" s="44" t="str">
        <x:v>Scenario</x:v>
      </x:c>
      <x:c r="B3" s="49" t="str">
        <x:v>Service</x:v>
      </x:c>
      <x:c r="C3" s="49" t="str">
        <x:v>Option</x:v>
      </x:c>
      <x:c r="D3" s="49" t="str">
        <x:v>Compute monthly</x:v>
      </x:c>
      <x:c r="E3" s="49" t="str">
        <x:v>Storage monthly</x:v>
      </x:c>
      <x:c r="F3" s="49" t="str">
        <x:v>Backup monthly</x:v>
      </x:c>
      <x:c r="G3" s="49" t="str">
        <x:v>I/O / processing</x:v>
      </x:c>
      <x:c r="H3" s="49" t="str">
        <x:v>Monitoring</x:v>
      </x:c>
      <x:c r="I3" s="49" t="str">
        <x:v>Transfer</x:v>
      </x:c>
      <x:c r="J3" s="49" t="str">
        <x:v>Security</x:v>
      </x:c>
      <x:c r="K3" s="49" t="str">
        <x:v>Monthly total</x:v>
      </x:c>
      <x:c r="L3" s="49" t="str">
        <x:v>Weekly total</x:v>
      </x:c>
      <x:c r="M3" s="45" t="str">
        <x:v>Selection</x:v>
      </x:c>
    </x:row>
    <x:row r="4" ht="15" hidden="0" customHeight="1">
      <x:c r="A4" s="46" t="str">
        <x:v>Cost-first</x:v>
      </x:c>
      <x:c r="B4" s="46" t="str">
        <x:v>RDS</x:v>
      </x:c>
      <x:c r="C4" s="46" t="str">
        <x:v>db.t4g.micro Single-AZ, 20 GiB gp3</x:v>
      </x:c>
      <x:c r="D4" s="50" t="n">
        <x:f>'Assumptions'!C15*'Assumptions'!C6</x:f>
        <x:v>11.68</x:v>
      </x:c>
      <x:c r="E4" s="50" t="n">
        <x:f>'Assumptions'!C19*'Assumptions'!C17</x:f>
        <x:v>2.3000000000000003</x:v>
      </x:c>
      <x:c r="F4" s="50" t="n">
        <x:v>0</x:v>
      </x:c>
      <x:c r="G4" s="50" t="n">
        <x:v>0</x:v>
      </x:c>
      <x:c r="H4" s="50" t="n">
        <x:v>0</x:v>
      </x:c>
      <x:c r="I4" s="50" t="n">
        <x:v>0</x:v>
      </x:c>
      <x:c r="J4" s="50" t="n">
        <x:v>0</x:v>
      </x:c>
      <x:c r="K4" s="50" t="n">
        <x:f>SUM(D4:J4)</x:f>
        <x:v>13.98</x:v>
      </x:c>
      <x:c r="L4" s="50" t="n">
        <x:f>K4/'Assumptions'!C9</x:f>
        <x:v>3.217315068493151</x:v>
      </x:c>
      <x:c r="M4" s="46" t="str">
        <x:v>Fallback</x:v>
      </x:c>
    </x:row>
    <x:row r="5" ht="15" hidden="0" customHeight="1">
      <x:c r="A5" s="46" t="str">
        <x:v>Cost-first</x:v>
      </x:c>
      <x:c r="B5" s="46" t="str">
        <x:v>ElastiCache</x:v>
      </x:c>
      <x:c r="C5" s="46" t="str">
        <x:v>cache.t4g.micro single node</x:v>
      </x:c>
      <x:c r="D5" s="50" t="n">
        <x:f>'Assumptions'!C20*'Assumptions'!C21*'Assumptions'!C6</x:f>
        <x:v>11.68</x:v>
      </x:c>
      <x:c r="E5" s="50" t="n">
        <x:v>0</x:v>
      </x:c>
      <x:c r="F5" s="50" t="n">
        <x:v>0</x:v>
      </x:c>
      <x:c r="G5" s="50" t="n">
        <x:v>0</x:v>
      </x:c>
      <x:c r="H5" s="50" t="n">
        <x:v>0</x:v>
      </x:c>
      <x:c r="I5" s="50" t="n">
        <x:v>0</x:v>
      </x:c>
      <x:c r="J5" s="50" t="n">
        <x:v>0</x:v>
      </x:c>
      <x:c r="K5" s="50" t="n">
        <x:f>SUM(D5:J5)</x:f>
        <x:v>11.68</x:v>
      </x:c>
      <x:c r="L5" s="50" t="n">
        <x:f>K5/'Assumptions'!C9</x:f>
        <x:v>2.688</x:v>
      </x:c>
      <x:c r="M5" s="46" t="str">
        <x:v>Fallback</x:v>
      </x:c>
    </x:row>
    <x:row r="6" ht="15" hidden="0" customHeight="1">
      <x:c r="A6" s="46" t="str">
        <x:v>Cost-first</x:v>
      </x:c>
      <x:c r="B6" s="46" t="str">
        <x:v>MSK</x:v>
      </x:c>
      <x:c r="C6" s="46" t="str">
        <x:v>Provisioned: 3 x kafka.t3.small, 10 GiB/broker</x:v>
      </x:c>
      <x:c r="D6" s="50" t="n">
        <x:f>'Assumptions'!C23*'Assumptions'!C24*'Assumptions'!C6</x:f>
        <x:v>99.864</x:v>
      </x:c>
      <x:c r="E6" s="50" t="n">
        <x:f>'Assumptions'!C24*'Assumptions'!C25*'Assumptions'!C26</x:f>
        <x:v>3</x:v>
      </x:c>
      <x:c r="F6" s="50" t="n">
        <x:v>0</x:v>
      </x:c>
      <x:c r="G6" s="50" t="n">
        <x:v>0</x:v>
      </x:c>
      <x:c r="H6" s="50" t="n">
        <x:v>0</x:v>
      </x:c>
      <x:c r="I6" s="50" t="n">
        <x:v>0</x:v>
      </x:c>
      <x:c r="J6" s="50" t="n">
        <x:v>0</x:v>
      </x:c>
      <x:c r="K6" s="50" t="n">
        <x:f>SUM(D6:J6)</x:f>
        <x:v>102.864</x:v>
      </x:c>
      <x:c r="L6" s="50" t="n">
        <x:f>K6/'Assumptions'!C9</x:f>
        <x:v>23.672810958904112</x:v>
      </x:c>
      <x:c r="M6" s="46" t="str">
        <x:v>Candidate</x:v>
      </x:c>
    </x:row>
    <x:row r="7" ht="15" hidden="0" customHeight="1">
      <x:c r="A7" s="46" t="str">
        <x:v>Cost-first</x:v>
      </x:c>
      <x:c r="B7" s="46" t="str">
        <x:v>Shared</x:v>
      </x:c>
      <x:c r="C7" s="46" t="str">
        <x:v>Secrets + KMS + CloudWatch + cross-AZ</x:v>
      </x:c>
      <x:c r="D7" s="50" t="n">
        <x:v>0</x:v>
      </x:c>
      <x:c r="E7" s="50" t="n">
        <x:v>0</x:v>
      </x:c>
      <x:c r="F7" s="50" t="n">
        <x:v>0</x:v>
      </x:c>
      <x:c r="G7" s="50" t="n">
        <x:v>0</x:v>
      </x:c>
      <x:c r="H7" s="50" t="n">
        <x:f>'Assumptions'!C35*'Assumptions'!C36+'Assumptions'!C37*'Assumptions'!C38</x:f>
        <x:v>2.65</x:v>
      </x:c>
      <x:c r="I7" s="50" t="n">
        <x:f>'Assumptions'!C39*'Assumptions'!C40</x:f>
        <x:v>0.05</x:v>
      </x:c>
      <x:c r="J7" s="50" t="n">
        <x:f>'Assumptions'!C31*'Assumptions'!C32+'Assumptions'!C33*'Assumptions'!C34</x:f>
        <x:v>4.2</x:v>
      </x:c>
      <x:c r="K7" s="50" t="n">
        <x:f>SUM(D7:J7)</x:f>
        <x:v>6.9</x:v>
      </x:c>
      <x:c r="L7" s="50" t="n">
        <x:f>K7/'Assumptions'!C9</x:f>
        <x:v>1.5879452054794523</x:v>
      </x:c>
      <x:c r="M7" s="46" t="str">
        <x:v>Included</x:v>
      </x:c>
    </x:row>
    <x:row r="8" ht="15" hidden="0" customHeight="1">
      <x:c r="A8" s="46" t="str">
        <x:v>HA recommended</x:v>
      </x:c>
      <x:c r="B8" s="46" t="str">
        <x:v>RDS</x:v>
      </x:c>
      <x:c r="C8" s="46" t="str">
        <x:v>db.t4g.micro Multi-AZ, 20 GiB gp3</x:v>
      </x:c>
      <x:c r="D8" s="50" t="n">
        <x:f>'Assumptions'!C16*'Assumptions'!C6</x:f>
        <x:v>23.36</x:v>
      </x:c>
      <x:c r="E8" s="50" t="n">
        <x:f>'Assumptions'!C19*'Assumptions'!C18</x:f>
        <x:v>4.6000000000000005</x:v>
      </x:c>
      <x:c r="F8" s="50" t="n">
        <x:v>0</x:v>
      </x:c>
      <x:c r="G8" s="50" t="n">
        <x:v>0</x:v>
      </x:c>
      <x:c r="H8" s="50" t="n">
        <x:v>0</x:v>
      </x:c>
      <x:c r="I8" s="50" t="n">
        <x:v>0</x:v>
      </x:c>
      <x:c r="J8" s="50" t="n">
        <x:v>0</x:v>
      </x:c>
      <x:c r="K8" s="50" t="n">
        <x:f>SUM(D8:J8)</x:f>
        <x:v>27.96</x:v>
      </x:c>
      <x:c r="L8" s="50" t="n">
        <x:f>K8/'Assumptions'!C9</x:f>
        <x:v>6.434630136986302</x:v>
      </x:c>
      <x:c r="M8" s="46" t="str">
        <x:v>Selected by CDO-08</x:v>
      </x:c>
    </x:row>
    <x:row r="9" ht="15" hidden="0" customHeight="1">
      <x:c r="A9" s="46" t="str">
        <x:v>HA recommended</x:v>
      </x:c>
      <x:c r="B9" s="46" t="str">
        <x:v>ElastiCache</x:v>
      </x:c>
      <x:c r="C9" s="46" t="str">
        <x:v>cache.t4g.micro primary + replica / Multi-AZ</x:v>
      </x:c>
      <x:c r="D9" s="50" t="n">
        <x:f>'Assumptions'!C20*'Assumptions'!C22*'Assumptions'!C6</x:f>
        <x:v>23.36</x:v>
      </x:c>
      <x:c r="E9" s="50" t="n">
        <x:v>0</x:v>
      </x:c>
      <x:c r="F9" s="50" t="n">
        <x:v>0</x:v>
      </x:c>
      <x:c r="G9" s="50" t="n">
        <x:v>0</x:v>
      </x:c>
      <x:c r="H9" s="50" t="n">
        <x:v>0</x:v>
      </x:c>
      <x:c r="I9" s="50" t="n">
        <x:v>0</x:v>
      </x:c>
      <x:c r="J9" s="50" t="n">
        <x:v>0</x:v>
      </x:c>
      <x:c r="K9" s="50" t="n">
        <x:f>SUM(D9:J9)</x:f>
        <x:v>23.36</x:v>
      </x:c>
      <x:c r="L9" s="50" t="n">
        <x:f>K9/'Assumptions'!C9</x:f>
        <x:v>5.376</x:v>
      </x:c>
      <x:c r="M9" s="46" t="str">
        <x:v>Selected by CDO-08</x:v>
      </x:c>
    </x:row>
    <x:row r="10" ht="15" hidden="0" customHeight="1">
      <x:c r="A10" s="46" t="str">
        <x:v>HA recommended</x:v>
      </x:c>
      <x:c r="B10" s="46" t="str">
        <x:v>MSK</x:v>
      </x:c>
      <x:c r="C10" s="46" t="str">
        <x:v>Provisioned: 3 x kafka.t3.small, 10 GiB/broker</x:v>
      </x:c>
      <x:c r="D10" s="50" t="n">
        <x:f>D6</x:f>
        <x:v>99.864</x:v>
      </x:c>
      <x:c r="E10" s="50" t="n">
        <x:f>E6</x:f>
        <x:v>3</x:v>
      </x:c>
      <x:c r="F10" s="50" t="n">
        <x:v>0</x:v>
      </x:c>
      <x:c r="G10" s="50" t="n">
        <x:v>0</x:v>
      </x:c>
      <x:c r="H10" s="50" t="n">
        <x:v>0</x:v>
      </x:c>
      <x:c r="I10" s="50" t="n">
        <x:v>0</x:v>
      </x:c>
      <x:c r="J10" s="50" t="n">
        <x:v>0</x:v>
      </x:c>
      <x:c r="K10" s="50" t="n">
        <x:f>SUM(D10:J10)</x:f>
        <x:v>102.864</x:v>
      </x:c>
      <x:c r="L10" s="50" t="n">
        <x:f>K10/'Assumptions'!C9</x:f>
        <x:v>23.672810958904112</x:v>
      </x:c>
      <x:c r="M10" s="46" t="str">
        <x:v>Candidate</x:v>
      </x:c>
    </x:row>
    <x:row r="11" ht="15" hidden="0" customHeight="1">
      <x:c r="A11" s="46" t="str">
        <x:v>HA recommended</x:v>
      </x:c>
      <x:c r="B11" s="46" t="str">
        <x:v>Shared</x:v>
      </x:c>
      <x:c r="C11" s="46" t="str">
        <x:v>Secrets + KMS + CloudWatch + cross-AZ</x:v>
      </x:c>
      <x:c r="D11" s="50" t="n">
        <x:v>0</x:v>
      </x:c>
      <x:c r="E11" s="50" t="n">
        <x:v>0</x:v>
      </x:c>
      <x:c r="F11" s="50" t="n">
        <x:v>0</x:v>
      </x:c>
      <x:c r="G11" s="50" t="n">
        <x:v>0</x:v>
      </x:c>
      <x:c r="H11" s="50" t="n">
        <x:f>'Assumptions'!C35*'Assumptions'!C36+'Assumptions'!C37*'Assumptions'!C38</x:f>
        <x:v>2.65</x:v>
      </x:c>
      <x:c r="I11" s="50" t="n">
        <x:f>'Assumptions'!C39*'Assumptions'!C40</x:f>
        <x:v>0.05</x:v>
      </x:c>
      <x:c r="J11" s="50" t="n">
        <x:f>'Assumptions'!C31*'Assumptions'!C32+'Assumptions'!C33*'Assumptions'!C34</x:f>
        <x:v>4.2</x:v>
      </x:c>
      <x:c r="K11" s="50" t="n">
        <x:f>SUM(D11:J11)</x:f>
        <x:v>6.9</x:v>
      </x:c>
      <x:c r="L11" s="50" t="n">
        <x:f>K11/'Assumptions'!C9</x:f>
        <x:v>1.5879452054794523</x:v>
      </x:c>
      <x:c r="M11" s="46" t="str">
        <x:v>Included</x:v>
      </x:c>
    </x:row>
    <x:row r="12" ht="15" hidden="0" customHeight="1">
      <x:c r="A12" s="46" t="str">
        <x:v>Serverless compare</x:v>
      </x:c>
      <x:c r="B12" s="46" t="str">
        <x:v>RDS</x:v>
      </x:c>
      <x:c r="C12" s="46" t="str">
        <x:v>db.t4g.micro Multi-AZ, 20 GiB gp3</x:v>
      </x:c>
      <x:c r="D12" s="50" t="n">
        <x:f>D8</x:f>
        <x:v>23.36</x:v>
      </x:c>
      <x:c r="E12" s="50" t="n">
        <x:f>E8</x:f>
        <x:v>4.6000000000000005</x:v>
      </x:c>
      <x:c r="F12" s="50" t="n">
        <x:v>0</x:v>
      </x:c>
      <x:c r="G12" s="50" t="n">
        <x:v>0</x:v>
      </x:c>
      <x:c r="H12" s="50" t="n">
        <x:v>0</x:v>
      </x:c>
      <x:c r="I12" s="50" t="n">
        <x:v>0</x:v>
      </x:c>
      <x:c r="J12" s="50" t="n">
        <x:v>0</x:v>
      </x:c>
      <x:c r="K12" s="50" t="n">
        <x:f>SUM(D12:J12)</x:f>
        <x:v>27.96</x:v>
      </x:c>
      <x:c r="L12" s="50" t="n">
        <x:f>K12/'Assumptions'!C9</x:f>
        <x:v>6.434630136986302</x:v>
      </x:c>
      <x:c r="M12" s="46" t="str">
        <x:v>Selected by CDO-08</x:v>
      </x:c>
    </x:row>
    <x:row r="13" ht="15" hidden="0" customHeight="1">
      <x:c r="A13" s="46" t="str">
        <x:v>Serverless compare</x:v>
      </x:c>
      <x:c r="B13" s="46" t="str">
        <x:v>ElastiCache</x:v>
      </x:c>
      <x:c r="C13" s="46" t="str">
        <x:v>cache.t4g.micro primary + replica / Multi-AZ</x:v>
      </x:c>
      <x:c r="D13" s="50" t="n">
        <x:f>D9</x:f>
        <x:v>23.36</x:v>
      </x:c>
      <x:c r="E13" s="50" t="n">
        <x:v>0</x:v>
      </x:c>
      <x:c r="F13" s="50" t="n">
        <x:v>0</x:v>
      </x:c>
      <x:c r="G13" s="50" t="n">
        <x:v>0</x:v>
      </x:c>
      <x:c r="H13" s="50" t="n">
        <x:v>0</x:v>
      </x:c>
      <x:c r="I13" s="50" t="n">
        <x:v>0</x:v>
      </x:c>
      <x:c r="J13" s="50" t="n">
        <x:v>0</x:v>
      </x:c>
      <x:c r="K13" s="50" t="n">
        <x:f>SUM(D13:J13)</x:f>
        <x:v>23.36</x:v>
      </x:c>
      <x:c r="L13" s="50" t="n">
        <x:f>K13/'Assumptions'!C9</x:f>
        <x:v>5.376</x:v>
      </x:c>
      <x:c r="M13" s="46" t="str">
        <x:v>Selected by CDO-08</x:v>
      </x:c>
    </x:row>
    <x:row r="14" ht="15" hidden="0" customHeight="1">
      <x:c r="A14" s="46" t="str">
        <x:v>Serverless compare</x:v>
      </x:c>
      <x:c r="B14" s="46" t="str">
        <x:v>MSK</x:v>
      </x:c>
      <x:c r="C14" s="46" t="str">
        <x:v>Serverless base + placeholder throughput/storage</x:v>
      </x:c>
      <x:c r="D14" s="50" t="n">
        <x:f>'Assumptions'!C27*'Assumptions'!C6</x:f>
        <x:v>547.5</x:v>
      </x:c>
      <x:c r="E14" s="50" t="n">
        <x:f>'Assumptions'!C30*'Assumptions'!C26</x:f>
        <x:v>1</x:v>
      </x:c>
      <x:c r="F14" s="50" t="n">
        <x:v>0</x:v>
      </x:c>
      <x:c r="G14" s="50" t="n">
        <x:f>'Assumptions'!C28*'Assumptions'!C29</x:f>
        <x:v>1</x:v>
      </x:c>
      <x:c r="H14" s="50" t="n">
        <x:v>0</x:v>
      </x:c>
      <x:c r="I14" s="50" t="n">
        <x:v>0</x:v>
      </x:c>
      <x:c r="J14" s="50" t="n">
        <x:v>0</x:v>
      </x:c>
      <x:c r="K14" s="50" t="n">
        <x:f>SUM(D14:J14)</x:f>
        <x:v>549.5</x:v>
      </x:c>
      <x:c r="L14" s="50" t="n">
        <x:f>K14/'Assumptions'!C9</x:f>
        <x:v>126.46027397260275</x:v>
      </x:c>
      <x:c r="M14" s="46" t="str">
        <x:v>Comparison only</x:v>
      </x:c>
    </x:row>
    <x:row r="15" ht="15" hidden="0" customHeight="1">
      <x:c r="A15" s="46" t="str">
        <x:v>Serverless compare</x:v>
      </x:c>
      <x:c r="B15" s="46" t="str">
        <x:v>Shared</x:v>
      </x:c>
      <x:c r="C15" s="46" t="str">
        <x:v>Secrets + KMS + CloudWatch + cross-AZ</x:v>
      </x:c>
      <x:c r="D15" s="50" t="n">
        <x:v>0</x:v>
      </x:c>
      <x:c r="E15" s="50" t="n">
        <x:v>0</x:v>
      </x:c>
      <x:c r="F15" s="50" t="n">
        <x:v>0</x:v>
      </x:c>
      <x:c r="G15" s="50" t="n">
        <x:v>0</x:v>
      </x:c>
      <x:c r="H15" s="50" t="n">
        <x:f>'Assumptions'!C35*'Assumptions'!C36+'Assumptions'!C37*'Assumptions'!C38</x:f>
        <x:v>2.65</x:v>
      </x:c>
      <x:c r="I15" s="50" t="n">
        <x:f>'Assumptions'!C39*'Assumptions'!C40</x:f>
        <x:v>0.05</x:v>
      </x:c>
      <x:c r="J15" s="50" t="n">
        <x:f>'Assumptions'!C31*'Assumptions'!C32+'Assumptions'!C33*'Assumptions'!C34</x:f>
        <x:v>4.2</x:v>
      </x:c>
      <x:c r="K15" s="50" t="n">
        <x:f>SUM(D15:J15)</x:f>
        <x:v>6.9</x:v>
      </x:c>
      <x:c r="L15" s="50" t="n">
        <x:f>K15/'Assumptions'!C9</x:f>
        <x:v>1.5879452054794523</x:v>
      </x:c>
      <x:c r="M15" s="46" t="str">
        <x:v>Included</x:v>
      </x:c>
    </x:row>
    <x:row r="16" ht="15" hidden="0" customHeight="1">
      <x:c r="A16" s="46"/>
      <x:c r="B16" s="46"/>
      <x:c r="C16" s="46"/>
      <x:c r="D16" s="50"/>
      <x:c r="E16" s="50"/>
      <x:c r="F16" s="50"/>
      <x:c r="G16" s="50"/>
      <x:c r="H16" s="50"/>
      <x:c r="I16" s="50"/>
      <x:c r="J16" s="50"/>
      <x:c r="K16" s="50"/>
      <x:c r="L16" s="50"/>
      <x:c r="M16" s="46"/>
    </x:row>
    <x:row r="17" ht="15" hidden="0" customHeight="1">
      <x:c r="A17" s="51" t="str">
        <x:v>Scenario totals</x:v>
      </x:c>
      <x:c r="B17" s="52"/>
      <x:c r="C17" s="52"/>
      <x:c r="D17" s="58"/>
      <x:c r="E17" s="58"/>
      <x:c r="F17" s="58"/>
      <x:c r="G17" s="58"/>
      <x:c r="H17" s="58"/>
      <x:c r="I17" s="58"/>
      <x:c r="J17" s="58"/>
      <x:c r="K17" s="58"/>
      <x:c r="L17" s="58"/>
      <x:c r="M17" s="53"/>
    </x:row>
    <x:row r="18" ht="15" hidden="0" customHeight="1">
      <x:c r="A18" s="46" t="str">
        <x:v>Cost-first</x:v>
      </x:c>
      <x:c r="B18" s="46"/>
      <x:c r="C18" s="46"/>
      <x:c r="D18" s="50"/>
      <x:c r="E18" s="50"/>
      <x:c r="F18" s="50"/>
      <x:c r="G18" s="50"/>
      <x:c r="H18" s="50"/>
      <x:c r="I18" s="50"/>
      <x:c r="J18" s="50"/>
      <x:c r="K18" s="50" t="n">
        <x:f>SUM(K4:K7)</x:f>
        <x:v>135.424</x:v>
      </x:c>
      <x:c r="L18" s="50" t="n">
        <x:f>K18/'Assumptions'!C9</x:f>
        <x:v>31.166071232876718</x:v>
      </x:c>
      <x:c r="M18" s="46" t="str">
        <x:v>Lowest modeled steady-state</x:v>
      </x:c>
    </x:row>
    <x:row r="19" ht="15" hidden="0" customHeight="1">
      <x:c r="A19" s="46" t="str">
        <x:v>HA recommended</x:v>
      </x:c>
      <x:c r="B19" s="46"/>
      <x:c r="C19" s="46"/>
      <x:c r="D19" s="50"/>
      <x:c r="E19" s="50"/>
      <x:c r="F19" s="50"/>
      <x:c r="G19" s="50"/>
      <x:c r="H19" s="50"/>
      <x:c r="I19" s="50"/>
      <x:c r="J19" s="50"/>
      <x:c r="K19" s="50" t="n">
        <x:f>SUM(K8:K11)</x:f>
        <x:v>161.084</x:v>
      </x:c>
      <x:c r="L19" s="50" t="n">
        <x:f>K19/'Assumptions'!C9</x:f>
        <x:v>37.07138630136987</x:v>
      </x:c>
      <x:c r="M19" s="46" t="str">
        <x:v>Recommended pending PERF inputs</x:v>
      </x:c>
    </x:row>
    <x:row r="20" ht="15" hidden="0" customHeight="1">
      <x:c r="A20" s="46" t="str">
        <x:v>Serverless compare</x:v>
      </x:c>
      <x:c r="B20" s="46"/>
      <x:c r="C20" s="46"/>
      <x:c r="D20" s="50"/>
      <x:c r="E20" s="50"/>
      <x:c r="F20" s="50"/>
      <x:c r="G20" s="50"/>
      <x:c r="H20" s="50"/>
      <x:c r="I20" s="50"/>
      <x:c r="J20" s="50"/>
      <x:c r="K20" s="50" t="n">
        <x:f>SUM(K12:K15)</x:f>
        <x:v>607.72</x:v>
      </x:c>
      <x:c r="L20" s="50" t="n">
        <x:f>K20/'Assumptions'!C9</x:f>
        <x:v>139.8588493150685</x:v>
      </x:c>
      <x:c r="M20" s="46" t="str">
        <x:v>Budget comparison; high base cost</x:v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26" hidden="0" customWidth="1"/>
    <x:col min="4" max="4" width="31" hidden="0" customWidth="1"/>
    <x:col min="5" max="5" width="31" hidden="0" customWidth="1"/>
    <x:col min="6" max="6" width="31" hidden="0" customWidth="1"/>
    <x:col min="7" max="7" width="30" hidden="0" customWidth="1"/>
    <x:col min="8" max="8" width="30" hidden="0" customWidth="1"/>
  </x:cols>
  <x:sheetData>
    <x:row r="1" ht="19.200000762939453" hidden="0" customHeight="1">
      <x:c r="A1" s="42" t="str">
        <x:v>Cost Explorer / CUR reconciliation plan</x:v>
      </x:c>
      <x:c r="B1" s="42" t="str">
        <x:v>Cost Explorer / CUR reconciliation plan</x:v>
      </x:c>
      <x:c r="C1" s="42" t="str">
        <x:v>Cost Explorer / CUR reconciliation plan</x:v>
      </x:c>
      <x:c r="D1" s="42" t="str">
        <x:v>Cost Explorer / CUR reconciliation plan</x:v>
      </x:c>
      <x:c r="E1" s="42" t="str">
        <x:v>Cost Explorer / CUR reconciliation plan</x:v>
      </x:c>
      <x:c r="F1" s="42" t="str">
        <x:v>Cost Explorer / CUR reconciliation plan</x:v>
      </x:c>
      <x:c r="G1" s="42" t="str">
        <x:v>Cost Explorer / CUR reconciliation plan</x:v>
      </x:c>
      <x:c r="H1" s="42" t="str">
        <x:v>Cost Explorer / CUR reconciliation plan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</x:row>
    <x:row r="3" ht="15" hidden="0" customHeight="1">
      <x:c r="A3" s="44" t="str">
        <x:v>Step</x:v>
      </x:c>
      <x:c r="B3" s="49" t="str">
        <x:v>Window</x:v>
      </x:c>
      <x:c r="C3" s="49" t="str">
        <x:v>Source</x:v>
      </x:c>
      <x:c r="D3" s="49" t="str">
        <x:v>Filter / group</x:v>
      </x:c>
      <x:c r="E3" s="49" t="str">
        <x:v>Metric</x:v>
      </x:c>
      <x:c r="F3" s="49" t="str">
        <x:v>Compare to model</x:v>
      </x:c>
      <x:c r="G3" s="49" t="str">
        <x:v>Tolerance / gate</x:v>
      </x:c>
      <x:c r="H3" s="45" t="str">
        <x:v>Owner / status</x:v>
      </x:c>
    </x:row>
    <x:row r="4" ht="26.399999618530273" hidden="0" customHeight="1">
      <x:c r="A4" s="46" t="n">
        <x:v>1</x:v>
      </x:c>
      <x:c r="B4" s="46" t="str">
        <x:v>T-7d to T-1d</x:v>
      </x:c>
      <x:c r="C4" s="46" t="str">
        <x:v>Cost Explorer + CUR</x:v>
      </x:c>
      <x:c r="D4" s="46" t="str">
        <x:v>Tag TF/Environment; service; usage type; resource ID</x:v>
      </x:c>
      <x:c r="E4" s="46" t="str">
        <x:v>UnblendedCost, UsageQuantity</x:v>
      </x:c>
      <x:c r="F4" s="46" t="str">
        <x:v>Before baseline and non-data TF run-rate</x:v>
      </x:c>
      <x:c r="G4" s="46" t="str">
        <x:v>Same-window baseline captured</x:v>
      </x:c>
      <x:c r="H4" s="46" t="str">
        <x:v>CDO-04 / PENDING</x:v>
      </x:c>
    </x:row>
    <x:row r="5" ht="26.399999618530273" hidden="0" customHeight="1">
      <x:c r="A5" s="46" t="n">
        <x:v>2</x:v>
      </x:c>
      <x:c r="B5" s="46" t="str">
        <x:v>Cutover window</x:v>
      </x:c>
      <x:c r="C5" s="46" t="str">
        <x:v>CUR hourly if available; CloudWatch usage</x:v>
      </x:c>
      <x:c r="D5" s="46" t="str">
        <x:v>RDS, ElastiCache, MSK, DMS, NLB, NAT</x:v>
      </x:c>
      <x:c r="E5" s="46" t="str">
        <x:v>Usage hours, storage, bytes, log ingestion</x:v>
      </x:c>
      <x:c r="F5" s="46" t="str">
        <x:v>One-time migration versus steady-state</x:v>
      </x:c>
      <x:c r="G5" s="46" t="str">
        <x:v>Separate temporary from recurring</x:v>
      </x:c>
      <x:c r="H5" s="46" t="str">
        <x:v>CDO-04 + Platform / PENDING</x:v>
      </x:c>
    </x:row>
    <x:row r="6" ht="26.399999618530273" hidden="0" customHeight="1">
      <x:c r="A6" s="46" t="n">
        <x:v>3</x:v>
      </x:c>
      <x:c r="B6" s="46" t="str">
        <x:v>T+24h to T+72h</x:v>
      </x:c>
      <x:c r="C6" s="46" t="str">
        <x:v>Cost Explorer DAILY</x:v>
      </x:c>
      <x:c r="D6" s="46" t="str">
        <x:v>Amazon RDS; ElastiCache; MSK; EC2; EBS</x:v>
      </x:c>
      <x:c r="E6" s="46" t="str">
        <x:v>UnblendedCost and amortized cost</x:v>
      </x:c>
      <x:c r="F6" s="46" t="str">
        <x:v>First post-cutover estimate</x:v>
      </x:c>
      <x:c r="G6" s="46" t="str">
        <x:v>Billing latency noted; no premature actual claim</x:v>
      </x:c>
      <x:c r="H6" s="46" t="str">
        <x:v>CDO-04 / PENDING</x:v>
      </x:c>
    </x:row>
    <x:row r="7" ht="15" hidden="0" customHeight="1">
      <x:c r="A7" s="46" t="n">
        <x:v>4</x:v>
      </x:c>
      <x:c r="B7" s="46" t="str">
        <x:v>T+7d</x:v>
      </x:c>
      <x:c r="C7" s="46" t="str">
        <x:v>CUR line items</x:v>
      </x:c>
      <x:c r="D7" s="46" t="str">
        <x:v>UsageType, Operation, ResourceId, tags</x:v>
      </x:c>
      <x:c r="E7" s="46" t="str">
        <x:v>Actual usage and cost</x:v>
      </x:c>
      <x:c r="F7" s="46" t="str">
        <x:v>Weekly modeled by component</x:v>
      </x:c>
      <x:c r="G7" s="46" t="str">
        <x:v>Investigate &gt;10% or &gt;$5 variance</x:v>
      </x:c>
      <x:c r="H7" s="46" t="str">
        <x:v>CDO-04 / PENDING</x:v>
      </x:c>
    </x:row>
    <x:row r="8" ht="26.399999618530273" hidden="0" customHeight="1">
      <x:c r="A8" s="46" t="n">
        <x:v>5</x:v>
      </x:c>
      <x:c r="B8" s="46" t="str">
        <x:v>First settled month</x:v>
      </x:c>
      <x:c r="C8" s="46" t="str">
        <x:v>CUR + invoice</x:v>
      </x:c>
      <x:c r="D8" s="46" t="str">
        <x:v>All scoped TF services and credits/refunds separated</x:v>
      </x:c>
      <x:c r="E8" s="46" t="str">
        <x:v>Net unblended and amortized</x:v>
      </x:c>
      <x:c r="F8" s="46" t="str">
        <x:v>Monthly modeled versus settled actual</x:v>
      </x:c>
      <x:c r="G8" s="46" t="str">
        <x:v>Explain all material variance</x:v>
      </x:c>
      <x:c r="H8" s="46" t="str">
        <x:v>CDO-04 / PENDING</x:v>
      </x:c>
    </x:row>
    <x:row r="9" ht="26.399999618530273" hidden="0" customHeight="1">
      <x:c r="A9" s="46" t="n">
        <x:v>6</x:v>
      </x:c>
      <x:c r="B9" s="46" t="str">
        <x:v>Post-cleanup</x:v>
      </x:c>
      <x:c r="C9" s="46" t="str">
        <x:v>EC2/EKS/Karpenter + CUR</x:v>
      </x:c>
      <x:c r="D9" s="46" t="str">
        <x:v>NodeClaim lifetime, instance usage type, EBS volume IDs</x:v>
      </x:c>
      <x:c r="E9" s="46" t="str">
        <x:v>Node-hours, volume-month</x:v>
      </x:c>
      <x:c r="F9" s="46" t="str">
        <x:v>Removed EKS/EBS assumption</x:v>
      </x:c>
      <x:c r="G9" s="46" t="str">
        <x:v>No savings booked without observed removal</x:v>
      </x:c>
      <x:c r="H9" s="46" t="str">
        <x:v>CDO-04 / PENDING</x:v>
      </x:c>
    </x:row>
    <x:row r="10" ht="26.399999618530273" hidden="0" customHeight="1">
      <x:c r="A10" s="46" t="n">
        <x:v>7</x:v>
      </x:c>
      <x:c r="B10" s="46" t="str">
        <x:v>Post-cleanup</x:v>
      </x:c>
      <x:c r="C10" s="46" t="str">
        <x:v>Kubernetes evidence</x:v>
      </x:c>
      <x:c r="D10" s="46" t="str">
        <x:v>pods/PVCs in techx-tf4</x:v>
      </x:c>
      <x:c r="E10" s="46" t="str">
        <x:v>Presence and requests/limits</x:v>
      </x:c>
      <x:c r="F10" s="46" t="str">
        <x:v>Datastore workload removal</x:v>
      </x:c>
      <x:c r="G10" s="46" t="str">
        <x:v>No PostgreSQL/Valkey/Kafka pods after PASS</x:v>
      </x:c>
      <x:c r="H10" s="46" t="str">
        <x:v>Platform + CDO-04 / PENDING</x:v>
      </x:c>
    </x:row>
    <x:row r="11" ht="26.399999618530273" hidden="0" customHeight="1">
      <x:c r="A11" s="46" t="n">
        <x:v>8</x:v>
      </x:c>
      <x:c r="B11" s="46" t="str">
        <x:v>Monthly review</x:v>
      </x:c>
      <x:c r="C11" s="46" t="str">
        <x:v>AWS Budgets</x:v>
      </x:c>
      <x:c r="D11" s="46" t="str">
        <x:v>Whole TF account/tag scope</x:v>
      </x:c>
      <x:c r="E11" s="46" t="str">
        <x:v>Forecasted and actual spend</x:v>
      </x:c>
      <x:c r="F11" s="46" t="str">
        <x:v>Weekly guardrail equivalent</x:v>
      </x:c>
      <x:c r="G11" s="46" t="str">
        <x:v>Exception approval if negative headroom</x:v>
      </x:c>
      <x:c r="H11" s="46" t="str">
        <x:v>Approver / PENDING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2" hidden="0" customWidth="1"/>
    <x:col min="3" max="3" width="20" hidden="0" customWidth="1"/>
    <x:col min="4" max="4" width="52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19.200000762939453" hidden="0" customHeight="1">
      <x:c r="A1" s="42" t="str">
        <x:v>Sources, exclusions, dependencies, and model checks</x:v>
      </x:c>
      <x:c r="B1" s="42" t="str">
        <x:v>Sources, exclusions, dependencies, and model checks</x:v>
      </x:c>
      <x:c r="C1" s="42" t="str">
        <x:v>Sources, exclusions, dependencies, and model checks</x:v>
      </x:c>
      <x:c r="D1" s="42" t="str">
        <x:v>Sources, exclusions, dependencies, and model checks</x:v>
      </x:c>
      <x:c r="E1" s="42" t="str">
        <x:v>Sources, exclusions, dependencies, and model checks</x:v>
      </x:c>
      <x:c r="F1" s="42" t="str">
        <x:v>Sources, exclusions, dependencies, and model checks</x:v>
      </x:c>
      <x:c r="G1" s="42" t="str">
        <x:v>Sources, exclusions, dependencies, and model checks</x:v>
      </x:c>
      <x:c r="H1" s="42" t="str">
        <x:v>Sources, exclusions, dependencies, and model checks</x:v>
      </x:c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</x:row>
    <x:row r="3" ht="15" hidden="0" customHeight="1">
      <x:c r="A3" s="44" t="str">
        <x:v>Source / item</x:v>
      </x:c>
      <x:c r="B3" s="49" t="str">
        <x:v>As-of</x:v>
      </x:c>
      <x:c r="C3" s="49" t="str">
        <x:v>Type</x:v>
      </x:c>
      <x:c r="D3" s="49" t="str">
        <x:v>Reference</x:v>
      </x:c>
      <x:c r="E3" s="49" t="str">
        <x:v>Used for</x:v>
      </x:c>
      <x:c r="F3" s="49" t="str">
        <x:v>Status</x:v>
      </x:c>
      <x:c r="G3" s="49" t="str">
        <x:v>Owner</x:v>
      </x:c>
      <x:c r="H3" s="45" t="str">
        <x:v>Notes</x:v>
      </x:c>
    </x:row>
    <x:row r="4" ht="39.599998474121094" hidden="0" customHeight="1">
      <x:c r="A4" s="46" t="str">
        <x:v>Directive #8 budget</x:v>
      </x:c>
      <x:c r="B4" s="46" t="str">
        <x:v>2026-07-18</x:v>
      </x:c>
      <x:c r="C4" s="46" t="str">
        <x:v>Policy</x:v>
      </x:c>
      <x:c r="D4" s="46" t="str">
        <x:v>docs/requirements/onboarding/BUDGET.md</x:v>
      </x:c>
      <x:c r="E4" s="46" t="str">
        <x:v>$300/week whole-TF guardrail</x:v>
      </x:c>
      <x:c r="F4" s="46" t="str">
        <x:v>Confirmed</x:v>
      </x:c>
      <x:c r="G4" s="46" t="str">
        <x:v>CDO-04</x:v>
      </x:c>
      <x:c r="H4" s="46" t="str">
        <x:v>Task directive takes precedence over older $300/month Terraform budget evidence</x:v>
      </x:c>
    </x:row>
    <x:row r="5" ht="26.399999618530273" hidden="0" customHeight="1">
      <x:c r="A5" s="46" t="str">
        <x:v>CDO-08 PostgreSQL decision</x:v>
      </x:c>
      <x:c r="B5" s="46" t="str">
        <x:v>2026-07-18</x:v>
      </x:c>
      <x:c r="C5" s="46" t="str">
        <x:v>Repo evidence</x:v>
      </x:c>
      <x:c r="D5" s="46" t="str">
        <x:v>docs/cdo08/week2/mandate8/adr/MANDATE-08-POSTGRESQL-DECISIONS-NAM.md</x:v>
      </x:c>
      <x:c r="E5" s="46" t="str">
        <x:v>RDS class, Multi-AZ, 20 GiB gp3</x:v>
      </x:c>
      <x:c r="F5" s="46" t="str">
        <x:v>Draft / proposed</x:v>
      </x:c>
      <x:c r="G5" s="46" t="str">
        <x:v>CDO-08</x:v>
      </x:c>
      <x:c r="H5" s="46" t="str">
        <x:v>Price inputs remain editable</x:v>
      </x:c>
    </x:row>
    <x:row r="6" ht="26.399999618530273" hidden="0" customHeight="1">
      <x:c r="A6" s="46" t="str">
        <x:v>CDO-08 Valkey decision</x:v>
      </x:c>
      <x:c r="B6" s="46" t="str">
        <x:v>2026-07-17</x:v>
      </x:c>
      <x:c r="C6" s="46" t="str">
        <x:v>Repo evidence</x:v>
      </x:c>
      <x:c r="D6" s="46" t="str">
        <x:v>docs/cdo08/week2/mandate8/adr/MANDATE-08-VALKEY-DECISIONS-Quan.md</x:v>
      </x:c>
      <x:c r="E6" s="46" t="str">
        <x:v>cache.t4g.micro x2 and verified rate</x:v>
      </x:c>
      <x:c r="F6" s="46" t="str">
        <x:v>Proposed</x:v>
      </x:c>
      <x:c r="G6" s="46" t="str">
        <x:v>CDO-08</x:v>
      </x:c>
      <x:c r="H6" s="46" t="str">
        <x:v>AWS Price List SKU recorded in source</x:v>
      </x:c>
    </x:row>
    <x:row r="7" ht="26.399999618530273" hidden="0" customHeight="1">
      <x:c r="A7" s="46" t="str">
        <x:v>CDO-08 Kafka analysis</x:v>
      </x:c>
      <x:c r="B7" s="46" t="str">
        <x:v>2026-07-18</x:v>
      </x:c>
      <x:c r="C7" s="46" t="str">
        <x:v>Repo evidence</x:v>
      </x:c>
      <x:c r="D7" s="46" t="str">
        <x:v>docs/cdo08/week2/mandate8/adr/MANDATE-08-KAFKA-ANALYSIS.md</x:v>
      </x:c>
      <x:c r="E7" s="46" t="str">
        <x:v>Serverless vs Provisioned options</x:v>
      </x:c>
      <x:c r="F7" s="46" t="str">
        <x:v>Incomplete</x:v>
      </x:c>
      <x:c r="G7" s="46" t="str">
        <x:v>CDO-08</x:v>
      </x:c>
      <x:c r="H7" s="46" t="str">
        <x:v>No final service class or throughput assumption yet</x:v>
      </x:c>
    </x:row>
    <x:row r="8" ht="26.399999618530273" hidden="0" customHeight="1">
      <x:c r="A8" s="46" t="str">
        <x:v>Helm values</x:v>
      </x:c>
      <x:c r="B8" s="46" t="str">
        <x:v>2026-07-18</x:v>
      </x:c>
      <x:c r="C8" s="46" t="str">
        <x:v>Repo manifest</x:v>
      </x:c>
      <x:c r="D8" s="46" t="str">
        <x:v>techx-corp-chart/values.yaml</x:v>
      </x:c>
      <x:c r="E8" s="46" t="str">
        <x:v>PVC sizes and pod reservations</x:v>
      </x:c>
      <x:c r="F8" s="46" t="str">
        <x:v>Confirmed</x:v>
      </x:c>
      <x:c r="G8" s="46" t="str">
        <x:v>Platform</x:v>
      </x:c>
      <x:c r="H8" s="46" t="str">
        <x:v>Configuration baseline, not runtime utilization</x:v>
      </x:c>
    </x:row>
    <x:row r="9" ht="26.399999618530273" hidden="0" customHeight="1">
      <x:c r="A9" s="46" t="str">
        <x:v>Cost Explorer baseline</x:v>
      </x:c>
      <x:c r="B9" s="46" t="str">
        <x:v>2026-07-15</x:v>
      </x:c>
      <x:c r="C9" s="46" t="str">
        <x:v>Actual MTD snapshot</x:v>
      </x:c>
      <x:c r="D9" s="46" t="str">
        <x:v>docs/evidence/epic-04-cost-optimization/04-cost-explorer-baseline.md</x:v>
      </x:c>
      <x:c r="E9" s="46" t="str">
        <x:v>Current TF projected run-rate</x:v>
      </x:c>
      <x:c r="F9" s="46" t="str">
        <x:v>Proxy only</x:v>
      </x:c>
      <x:c r="G9" s="46" t="str">
        <x:v>CDO-04</x:v>
      </x:c>
      <x:c r="H9" s="46" t="str">
        <x:v>$270.72/month projection; not settled actual</x:v>
      </x:c>
    </x:row>
    <x:row r="10" ht="15" hidden="0" customHeight="1">
      <x:c r="A10" s="46" t="str">
        <x:v>AWS RDS pricing</x:v>
      </x:c>
      <x:c r="B10" s="46" t="str">
        <x:v>2026-07-18</x:v>
      </x:c>
      <x:c r="C10" s="46" t="str">
        <x:v>Official web</x:v>
      </x:c>
      <x:c r="D10" s="46" t="str">
        <x:v>https://aws.amazon.com/rds/postgresql/pricing/</x:v>
      </x:c>
      <x:c r="E10" s="46" t="str">
        <x:v>RDS cost dimensions</x:v>
      </x:c>
      <x:c r="F10" s="46" t="str">
        <x:v>Referenced</x:v>
      </x:c>
      <x:c r="G10" s="46" t="str">
        <x:v>CDO-04</x:v>
      </x:c>
      <x:c r="H10" s="46" t="str">
        <x:v>Refresh rates before approval</x:v>
      </x:c>
    </x:row>
    <x:row r="11" ht="26.399999618530273" hidden="0" customHeight="1">
      <x:c r="A11" s="46" t="str">
        <x:v>AWS ElastiCache pricing</x:v>
      </x:c>
      <x:c r="B11" s="46" t="str">
        <x:v>2026-07-18</x:v>
      </x:c>
      <x:c r="C11" s="46" t="str">
        <x:v>Official web</x:v>
      </x:c>
      <x:c r="D11" s="46" t="str">
        <x:v>https://aws.amazon.com/elasticache/pricing/</x:v>
      </x:c>
      <x:c r="E11" s="46" t="str">
        <x:v>Node, backup and transfer rules</x:v>
      </x:c>
      <x:c r="F11" s="46" t="str">
        <x:v>Referenced</x:v>
      </x:c>
      <x:c r="G11" s="46" t="str">
        <x:v>CDO-04</x:v>
      </x:c>
      <x:c r="H11" s="46" t="str">
        <x:v>Cross-AZ EC2-side charge may apply</x:v>
      </x:c>
    </x:row>
    <x:row r="12" ht="26.399999618530273" hidden="0" customHeight="1">
      <x:c r="A12" s="46" t="str">
        <x:v>AWS MSK pricing</x:v>
      </x:c>
      <x:c r="B12" s="46" t="str">
        <x:v>2026-07-18</x:v>
      </x:c>
      <x:c r="C12" s="46" t="str">
        <x:v>Official web</x:v>
      </x:c>
      <x:c r="D12" s="46" t="str">
        <x:v>https://aws.amazon.com/msk/pricing/</x:v>
      </x:c>
      <x:c r="E12" s="46" t="str">
        <x:v>Broker/serverless/storage/processing</x:v>
      </x:c>
      <x:c r="F12" s="46" t="str">
        <x:v>Referenced</x:v>
      </x:c>
      <x:c r="G12" s="46" t="str">
        <x:v>CDO-04</x:v>
      </x:c>
      <x:c r="H12" s="46" t="str">
        <x:v>Refresh rates before approval</x:v>
      </x:c>
    </x:row>
    <x:row r="13" ht="15" hidden="0" customHeight="1">
      <x:c r="A13" s="46"/>
      <x:c r="B13" s="46"/>
      <x:c r="C13" s="46"/>
      <x:c r="D13" s="46"/>
      <x:c r="E13" s="46"/>
      <x:c r="F13" s="46"/>
      <x:c r="G13" s="46"/>
      <x:c r="H13" s="46"/>
    </x:row>
    <x:row r="14" ht="15" hidden="0" customHeight="1">
      <x:c r="A14" s="44" t="str">
        <x:v>Excluded cost</x:v>
      </x:c>
      <x:c r="B14" s="49" t="str">
        <x:v>Reason</x:v>
      </x:c>
      <x:c r="C14" s="49" t="str">
        <x:v>Trigger to include</x:v>
      </x:c>
      <x:c r="D14" s="49" t="str">
        <x:v>Owner</x:v>
      </x:c>
      <x:c r="E14" s="49" t="str">
        <x:v>Status</x:v>
      </x:c>
      <x:c r="F14" s="49" t="str"/>
      <x:c r="G14" s="49" t="str"/>
      <x:c r="H14" s="45" t="str"/>
    </x:row>
    <x:row r="15" ht="39.599998474121094" hidden="0" customHeight="1">
      <x:c r="A15" s="46" t="str">
        <x:v>RDS CPU credits</x:v>
      </x:c>
      <x:c r="B15" s="46" t="str">
        <x:v>Requires sustained burst above baseline</x:v>
      </x:c>
      <x:c r="C15" s="46" t="str">
        <x:v>CloudWatch CPUCreditUsage/CPUCreditBalance evidence</x:v>
      </x:c>
      <x:c r="D15" s="46" t="str">
        <x:v>CDO-04</x:v>
      </x:c>
      <x:c r="E15" s="46" t="str">
        <x:v>Excluded / variable</x:v>
      </x:c>
      <x:c r="F15" s="46"/>
      <x:c r="G15" s="46"/>
      <x:c r="H15" s="46"/>
    </x:row>
    <x:row r="16" ht="26.399999618530273" hidden="0" customHeight="1">
      <x:c r="A16" s="46" t="str">
        <x:v>RDS paid Performance Insights retention</x:v>
      </x:c>
      <x:c r="B16" s="46" t="str">
        <x:v>Not confirmed enabled</x:v>
      </x:c>
      <x:c r="C16" s="46" t="str">
        <x:v>CDO-08 service configuration</x:v>
      </x:c>
      <x:c r="D16" s="46" t="str">
        <x:v>Platform</x:v>
      </x:c>
      <x:c r="E16" s="46" t="str">
        <x:v>Excluded</x:v>
      </x:c>
      <x:c r="F16" s="46"/>
      <x:c r="G16" s="46"/>
      <x:c r="H16" s="46"/>
    </x:row>
    <x:row r="17" ht="26.399999618530273" hidden="0" customHeight="1">
      <x:c r="A17" s="46" t="str">
        <x:v>Backup above included allowance / manual snapshots</x:v>
      </x:c>
      <x:c r="B17" s="46" t="str">
        <x:v>Retention and change rate unknown</x:v>
      </x:c>
      <x:c r="C17" s="46" t="str">
        <x:v>Backup inventory and billed GB-month</x:v>
      </x:c>
      <x:c r="D17" s="46" t="str">
        <x:v>Platform</x:v>
      </x:c>
      <x:c r="E17" s="46" t="str">
        <x:v>Excluded</x:v>
      </x:c>
      <x:c r="F17" s="46"/>
      <x:c r="G17" s="46"/>
      <x:c r="H17" s="46"/>
    </x:row>
    <x:row r="18" ht="15" hidden="0" customHeight="1">
      <x:c r="A18" s="46" t="str">
        <x:v>KMS API requests</x:v>
      </x:c>
      <x:c r="B18" s="46" t="str">
        <x:v>Request count unknown</x:v>
      </x:c>
      <x:c r="C18" s="46" t="str">
        <x:v>CUR usage line item</x:v>
      </x:c>
      <x:c r="D18" s="46" t="str">
        <x:v>Security</x:v>
      </x:c>
      <x:c r="E18" s="46" t="str">
        <x:v>Excluded / variable</x:v>
      </x:c>
      <x:c r="F18" s="46"/>
      <x:c r="G18" s="46"/>
      <x:c r="H18" s="46"/>
    </x:row>
    <x:row r="19" ht="15" hidden="0" customHeight="1">
      <x:c r="A19" s="46" t="str">
        <x:v>Secrets Manager API calls</x:v>
      </x:c>
      <x:c r="B19" s="46" t="str">
        <x:v>Call count unknown</x:v>
      </x:c>
      <x:c r="C19" s="46" t="str">
        <x:v>CUR usage line item</x:v>
      </x:c>
      <x:c r="D19" s="46" t="str">
        <x:v>Security</x:v>
      </x:c>
      <x:c r="E19" s="46" t="str">
        <x:v>Excluded / variable</x:v>
      </x:c>
      <x:c r="F19" s="46"/>
      <x:c r="G19" s="46"/>
      <x:c r="H19" s="46"/>
    </x:row>
    <x:row r="20" ht="26.399999618530273" hidden="0" customHeight="1">
      <x:c r="A20" s="46" t="str">
        <x:v>NAT Gateway / VPC endpoint increment</x:v>
      </x:c>
      <x:c r="B20" s="46" t="str">
        <x:v>Topology and byte path owned by Platform/Security</x:v>
      </x:c>
      <x:c r="C20" s="46" t="str">
        <x:v>Approved network design + CUR</x:v>
      </x:c>
      <x:c r="D20" s="46" t="str">
        <x:v>Platform</x:v>
      </x:c>
      <x:c r="E20" s="46" t="str">
        <x:v>Excluded / risk</x:v>
      </x:c>
      <x:c r="F20" s="46"/>
      <x:c r="G20" s="46"/>
      <x:c r="H20" s="46"/>
    </x:row>
    <x:row r="21" ht="15" hidden="0" customHeight="1">
      <x:c r="A21" s="46" t="str">
        <x:v>Internet / inter-region transfer</x:v>
      </x:c>
      <x:c r="B21" s="46" t="str">
        <x:v>No requirement or volume evidence</x:v>
      </x:c>
      <x:c r="C21" s="46" t="str">
        <x:v>Network flow and CUR</x:v>
      </x:c>
      <x:c r="D21" s="46" t="str">
        <x:v>Platform</x:v>
      </x:c>
      <x:c r="E21" s="46" t="str">
        <x:v>Excluded</x:v>
      </x:c>
      <x:c r="F21" s="46"/>
      <x:c r="G21" s="46"/>
      <x:c r="H21" s="46"/>
    </x:row>
    <x:row r="22" ht="26.399999618530273" hidden="0" customHeight="1">
      <x:c r="A22" s="46" t="str">
        <x:v>DMS + temporary internal NLB</x:v>
      </x:c>
      <x:c r="B22" s="46" t="str">
        <x:v>One-time migration, not steady-state</x:v>
      </x:c>
      <x:c r="C22" s="46" t="str">
        <x:v>Approved migration window and runtime</x:v>
      </x:c>
      <x:c r="D22" s="46" t="str">
        <x:v>CDO-08</x:v>
      </x:c>
      <x:c r="E22" s="46" t="str">
        <x:v>Excluded from recurring; track separately</x:v>
      </x:c>
      <x:c r="F22" s="46"/>
      <x:c r="G22" s="46"/>
      <x:c r="H22" s="46"/>
    </x:row>
    <x:row r="23" ht="26.399999618530273" hidden="0" customHeight="1">
      <x:c r="A23" s="46" t="str">
        <x:v>Credits, tax, support, RI/Savings Plan discounts</x:v>
      </x:c>
      <x:c r="B23" s="46" t="str">
        <x:v>Commercial/account-specific</x:v>
      </x:c>
      <x:c r="C23" s="46" t="str">
        <x:v>Settled bill / CUR charge type</x:v>
      </x:c>
      <x:c r="D23" s="46" t="str">
        <x:v>FinOps</x:v>
      </x:c>
      <x:c r="E23" s="46" t="str">
        <x:v>Excluded</x:v>
      </x:c>
      <x:c r="F23" s="46"/>
      <x:c r="G23" s="46"/>
      <x:c r="H23" s="46"/>
    </x:row>
    <x:row r="24" ht="15" hidden="0" customHeight="1">
      <x:c r="A24" s="46"/>
      <x:c r="B24" s="46"/>
      <x:c r="C24" s="46"/>
      <x:c r="D24" s="46"/>
      <x:c r="E24" s="46"/>
      <x:c r="F24" s="46"/>
      <x:c r="G24" s="46"/>
      <x:c r="H24" s="46"/>
    </x:row>
    <x:row r="25" ht="15" hidden="0" customHeight="1">
      <x:c r="A25" s="44" t="str">
        <x:v>MODEL STATUS</x:v>
      </x:c>
      <x:c r="B25" s="49" t="str">
        <x:v>Check</x:v>
      </x:c>
      <x:c r="C25" s="49" t="str">
        <x:v>Result</x:v>
      </x:c>
      <x:c r="D25" s="45" t="str">
        <x:v>Resolution</x:v>
      </x:c>
      <x:c r="E25" s="46"/>
      <x:c r="F25" s="46"/>
      <x:c r="G25" s="46"/>
      <x:c r="H25" s="46"/>
    </x:row>
    <x:row r="26" ht="15" hidden="0" customHeight="1">
      <x:c r="A26" s="46" t="str">
        <x:v>Control</x:v>
      </x:c>
      <x:c r="B26" s="46" t="str">
        <x:v>All scenario totals reconcile</x:v>
      </x:c>
      <x:c r="C26" s="46" t="str">
        <x:f>IF(ABS('Managed Options'!K18-SUM('Managed Options'!K4:K7))&lt;0.01,"PASS","FAIL")</x:f>
        <x:v>PASS</x:v>
      </x:c>
      <x:c r="D26" s="46" t="str">
        <x:v>None if PASS</x:v>
      </x:c>
      <x:c r="E26" s="46"/>
      <x:c r="F26" s="46"/>
      <x:c r="G26" s="46"/>
      <x:c r="H26" s="46"/>
    </x:row>
    <x:row r="27" ht="15" hidden="0" customHeight="1">
      <x:c r="A27" s="46" t="str">
        <x:v>Control</x:v>
      </x:c>
      <x:c r="B27" s="46" t="str">
        <x:v>Weekly/monthly conversion consistent</x:v>
      </x:c>
      <x:c r="C27" s="46" t="str">
        <x:f>IF(ABS('Managed Options'!L19-'Managed Options'!K19/'Assumptions'!C9)&lt;0.01,"PASS","FAIL")</x:f>
        <x:v>PASS</x:v>
      </x:c>
      <x:c r="D27" s="46" t="str">
        <x:v>None if PASS</x:v>
      </x:c>
      <x:c r="E27" s="46"/>
      <x:c r="F27" s="46"/>
      <x:c r="G27" s="46"/>
      <x:c r="H27" s="46"/>
    </x:row>
    <x:row r="28" ht="15" hidden="0" customHeight="1">
      <x:c r="A28" s="46" t="str">
        <x:v>Control</x:v>
      </x:c>
      <x:c r="B28" s="46" t="str">
        <x:v>Budget status populated</x:v>
      </x:c>
      <x:c r="C28" s="46" t="str">
        <x:f>IF('Summary'!H13&lt;&gt;"","PASS","FAIL")</x:f>
        <x:v>PASS</x:v>
      </x:c>
      <x:c r="D28" s="46" t="str">
        <x:v>None if PASS</x:v>
      </x:c>
      <x:c r="E28" s="46"/>
      <x:c r="F28" s="46"/>
      <x:c r="G28" s="46"/>
      <x:c r="H28" s="46"/>
    </x:row>
    <x:row r="29" ht="15" hidden="0" customHeight="1">
      <x:c r="A29" s="46" t="str">
        <x:v>Dependency</x:v>
      </x:c>
      <x:c r="B29" s="46" t="str">
        <x:v>D8-PERF-01 workload baseline supplied</x:v>
      </x:c>
      <x:c r="C29" s="46" t="str">
        <x:f>"PENDING"</x:f>
        <x:v>PENDING</x:v>
      </x:c>
      <x:c r="D29" s="46" t="str">
        <x:v>Attach same-window DB/cache/queue baseline</x:v>
      </x:c>
      <x:c r="E29" s="46"/>
      <x:c r="F29" s="46"/>
      <x:c r="G29" s="46"/>
      <x:c r="H29" s="46"/>
    </x:row>
    <x:row r="30" ht="15" hidden="0" customHeight="1">
      <x:c r="A30" s="46" t="str">
        <x:v>Dependency</x:v>
      </x:c>
      <x:c r="B30" s="46" t="str">
        <x:v>D8-PERF-02 sizing/throughput supplied</x:v>
      </x:c>
      <x:c r="C30" s="46" t="str">
        <x:f>"PENDING"</x:f>
        <x:v>PENDING</x:v>
      </x:c>
      <x:c r="D30" s="46" t="str">
        <x:v>Replace MSK throughput/storage and shared placeholders</x:v>
      </x:c>
      <x:c r="E30" s="46"/>
      <x:c r="F30" s="46"/>
      <x:c r="G30" s="46"/>
      <x:c r="H30" s="46"/>
    </x:row>
    <x:row r="31" ht="15" hidden="0" customHeight="1">
      <x:c r="A31" s="46" t="str">
        <x:v>Dependency</x:v>
      </x:c>
      <x:c r="B31" s="46" t="str">
        <x:v>CDO-08 final service classes supplied</x:v>
      </x:c>
      <x:c r="C31" s="46" t="str">
        <x:f>"PENDING"</x:f>
        <x:v>PENDING</x:v>
      </x:c>
      <x:c r="D31" s="46" t="str">
        <x:v>Confirm RDS/ElastiCache/MSK class and topology</x:v>
      </x:c>
      <x:c r="E31" s="46"/>
      <x:c r="F31" s="46"/>
      <x:c r="G31" s="46"/>
      <x:c r="H31" s="46"/>
    </x:row>
    <x:row r="32" ht="15" hidden="0" customHeight="1">
      <x:c r="A32" s="46"/>
      <x:c r="B32" s="46"/>
      <x:c r="C32" s="46"/>
      <x:c r="D32" s="46"/>
      <x:c r="E32" s="46"/>
      <x:c r="F32" s="46"/>
      <x:c r="G32" s="46"/>
      <x:c r="H32" s="46"/>
    </x:row>
    <x:row r="33" ht="15" hidden="0" customHeight="1">
      <x:c r="A33" s="51" t="str">
        <x:v>Overall readiness</x:v>
      </x:c>
      <x:c r="B33" s="52" t="str">
        <x:f>IF(COUNTIF(C26:C31,"FAIL")&gt;0,"FAIL",IF(COUNTIF(C26:C31,"PENDING")&gt;0,"PENDING","PASS"))</x:f>
        <x:v>PENDING</x:v>
      </x:c>
      <x:c r="C33" s="52"/>
      <x:c r="D33" s="53"/>
      <x:c r="E33" s="46"/>
      <x:c r="F33" s="46"/>
      <x:c r="G33" s="46"/>
      <x:c r="H33" s="46"/>
    </x:row>
  </x:sheetData>
  <x:mergeCells>
    <x:mergeCell ref="A1:H1"/>
  </x:mergeCells>
  <x:pageMargins left="0.7" right="0.7" top="0.75" bottom="0.75" header="0.3" footer="0.3"/>
</x:worksheet>
</file>